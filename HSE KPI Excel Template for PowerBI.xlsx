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wrh-my.sharepoint.com/personal/tanerc_arg_ae/Documents/Desktop/Linkedin Posts/2026 Locked/0. PowerBI/"/>
    </mc:Choice>
  </mc:AlternateContent>
  <xr:revisionPtr revIDLastSave="1282" documentId="11_05472136AA2CFBAAEFD6DCC162AEC4F552D4A4BA" xr6:coauthVersionLast="47" xr6:coauthVersionMax="47" xr10:uidLastSave="{E08BFB97-1C6F-478C-91C8-C31A68EB58CB}"/>
  <bookViews>
    <workbookView xWindow="-120" yWindow="-120" windowWidth="29040" windowHeight="15720" tabRatio="675" activeTab="1" xr2:uid="{00000000-000D-0000-FFFF-FFFF00000000}"/>
  </bookViews>
  <sheets>
    <sheet name="Read Me" sheetId="15" r:id="rId1"/>
    <sheet name="DATACALL" sheetId="1" r:id="rId2"/>
    <sheet name="ManHours" sheetId="14" r:id="rId3"/>
    <sheet name="Audit Register" sheetId="8" r:id="rId4"/>
    <sheet name="Training Register" sheetId="9" r:id="rId5"/>
    <sheet name="Incident Register" sheetId="10" r:id="rId6"/>
    <sheet name="TBT Register" sheetId="11" r:id="rId7"/>
    <sheet name="Drill Register" sheetId="12" r:id="rId8"/>
    <sheet name="Near-Miss Register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8" l="1"/>
  <c r="J18" i="8"/>
  <c r="J17" i="8"/>
  <c r="J16" i="8"/>
  <c r="J15" i="8"/>
  <c r="J14" i="8"/>
  <c r="J13" i="8"/>
  <c r="J12" i="8"/>
  <c r="J11" i="8"/>
  <c r="J10" i="8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K9" i="13"/>
  <c r="K8" i="13"/>
  <c r="K7" i="13"/>
  <c r="K6" i="13"/>
  <c r="K5" i="13"/>
  <c r="O5" i="10"/>
  <c r="O6" i="10"/>
  <c r="O7" i="10"/>
  <c r="O8" i="10"/>
  <c r="O9" i="10"/>
  <c r="J5" i="9"/>
  <c r="J6" i="9"/>
  <c r="J7" i="9"/>
  <c r="J8" i="9"/>
  <c r="J9" i="9"/>
  <c r="J5" i="8"/>
  <c r="J6" i="8"/>
  <c r="J7" i="8"/>
  <c r="J8" i="8"/>
  <c r="J9" i="8"/>
</calcChain>
</file>

<file path=xl/sharedStrings.xml><?xml version="1.0" encoding="utf-8"?>
<sst xmlns="http://schemas.openxmlformats.org/spreadsheetml/2006/main" count="1163" uniqueCount="331">
  <si>
    <t>Business Unit</t>
  </si>
  <si>
    <t>Site / Project</t>
  </si>
  <si>
    <t>Department</t>
  </si>
  <si>
    <t>KPI Category</t>
  </si>
  <si>
    <t>KPI Name</t>
  </si>
  <si>
    <t>Unit of Measure</t>
  </si>
  <si>
    <t>Reporting Frequency</t>
  </si>
  <si>
    <t>Owner</t>
  </si>
  <si>
    <t>Risk Level</t>
  </si>
  <si>
    <t>Status</t>
  </si>
  <si>
    <t>Unit 1</t>
  </si>
  <si>
    <t>Operations</t>
  </si>
  <si>
    <t>Lagging</t>
  </si>
  <si>
    <t>TRIR</t>
  </si>
  <si>
    <t>Rate</t>
  </si>
  <si>
    <t>Monthly</t>
  </si>
  <si>
    <t>High</t>
  </si>
  <si>
    <t>Active</t>
  </si>
  <si>
    <t>Leading</t>
  </si>
  <si>
    <t>HSE Audit</t>
  </si>
  <si>
    <t>Count</t>
  </si>
  <si>
    <t>Unit 2</t>
  </si>
  <si>
    <t>Construction</t>
  </si>
  <si>
    <t>LTIFR</t>
  </si>
  <si>
    <t>Medium</t>
  </si>
  <si>
    <t>Near Miss Report</t>
  </si>
  <si>
    <t>Unit 3</t>
  </si>
  <si>
    <t>Procurement</t>
  </si>
  <si>
    <t>Fatalities</t>
  </si>
  <si>
    <t>Unsafe Act Report</t>
  </si>
  <si>
    <t>Management</t>
  </si>
  <si>
    <t>Lost Workdays</t>
  </si>
  <si>
    <t>Logistic</t>
  </si>
  <si>
    <t>Medical Treatment Case</t>
  </si>
  <si>
    <t>Facilities Management</t>
  </si>
  <si>
    <t>First Aid Case</t>
  </si>
  <si>
    <t>Low</t>
  </si>
  <si>
    <t>IT</t>
  </si>
  <si>
    <t>Occupational Illness Case</t>
  </si>
  <si>
    <t>HR</t>
  </si>
  <si>
    <t>Environmental Incident</t>
  </si>
  <si>
    <t>HSE</t>
  </si>
  <si>
    <t>Property Damage Incident</t>
  </si>
  <si>
    <t>Unsafe Condition Report</t>
  </si>
  <si>
    <t>Hazard Identification Report</t>
  </si>
  <si>
    <t>Safety Observation</t>
  </si>
  <si>
    <t>Toolbox Talks Conducted</t>
  </si>
  <si>
    <t>Supervisor Safety Walk</t>
  </si>
  <si>
    <t>Critical Control Verifications Completed</t>
  </si>
  <si>
    <t>Year</t>
  </si>
  <si>
    <t>Month</t>
  </si>
  <si>
    <t>Environmental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</si>
  <si>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</si>
  <si>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</si>
  <si>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</si>
  <si>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</si>
  <si>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</si>
  <si>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</si>
  <si>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</si>
  <si>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</si>
  <si>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</si>
  <si>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</si>
  <si>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</si>
  <si>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</si>
  <si>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</si>
  <si>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</si>
  <si>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Unit 18</t>
  </si>
  <si>
    <t>Site - Project 1</t>
  </si>
  <si>
    <t>Site - Project 2</t>
  </si>
  <si>
    <t>Site - Project 3</t>
  </si>
  <si>
    <t>Site - Project 4</t>
  </si>
  <si>
    <t>Site - Project 5</t>
  </si>
  <si>
    <t>Site - Project 6</t>
  </si>
  <si>
    <t>Site - Project 7</t>
  </si>
  <si>
    <t>Site - Project 8</t>
  </si>
  <si>
    <t>Site - Project 9</t>
  </si>
  <si>
    <t>Site - Project 10</t>
  </si>
  <si>
    <t>Site - Project 11</t>
  </si>
  <si>
    <t>Site - Project 12</t>
  </si>
  <si>
    <t>Site - Project 13</t>
  </si>
  <si>
    <t>Site - Project 14</t>
  </si>
  <si>
    <t>Site - Project 15</t>
  </si>
  <si>
    <t>Site - Project 16</t>
  </si>
  <si>
    <t>Site - Project 17</t>
  </si>
  <si>
    <t>Site - Project 18</t>
  </si>
  <si>
    <t>Weekly</t>
  </si>
  <si>
    <t>Quarterly</t>
  </si>
  <si>
    <t>Yearly</t>
  </si>
  <si>
    <t>Owner 1</t>
  </si>
  <si>
    <t>Owner 2</t>
  </si>
  <si>
    <t>Owner 3</t>
  </si>
  <si>
    <t>Owner 4</t>
  </si>
  <si>
    <t>Owner 5</t>
  </si>
  <si>
    <t>Owner 6</t>
  </si>
  <si>
    <t>Owner 7</t>
  </si>
  <si>
    <t>Owner 8</t>
  </si>
  <si>
    <t>Owner 9</t>
  </si>
  <si>
    <t>Owner 10</t>
  </si>
  <si>
    <t>Owner 11</t>
  </si>
  <si>
    <t>Owner 12</t>
  </si>
  <si>
    <t>Owner 13</t>
  </si>
  <si>
    <t>Owner 14</t>
  </si>
  <si>
    <t>Owner 15</t>
  </si>
  <si>
    <t>Owner 16</t>
  </si>
  <si>
    <t>Owner 17</t>
  </si>
  <si>
    <t>Owner 18</t>
  </si>
  <si>
    <t>Closed</t>
  </si>
  <si>
    <t>Ongoing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</si>
  <si>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</si>
  <si>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</si>
  <si>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</si>
  <si>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</si>
  <si>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</si>
  <si>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</si>
  <si>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</si>
  <si>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</si>
  <si>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</si>
  <si>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</si>
  <si>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</si>
  <si>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</si>
  <si>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</t>
  </si>
  <si>
    <t>Performed By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</si>
  <si>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</si>
  <si>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</si>
  <si>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</si>
  <si>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</si>
  <si>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</si>
  <si>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</si>
  <si>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</si>
  <si>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</si>
  <si>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</si>
  <si>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</si>
  <si>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</si>
  <si>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</si>
  <si>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Manhours</t>
  </si>
  <si>
    <t>Audit Date</t>
  </si>
  <si>
    <t>Audit Score</t>
  </si>
  <si>
    <t>Audited By</t>
  </si>
  <si>
    <t>Failed Items</t>
  </si>
  <si>
    <t>Closed Items</t>
  </si>
  <si>
    <t>Close-Out Ratio</t>
  </si>
  <si>
    <t>Training Date</t>
  </si>
  <si>
    <t>Training Name</t>
  </si>
  <si>
    <t>Number of Attendees</t>
  </si>
  <si>
    <t>Training 1</t>
  </si>
  <si>
    <t>Training 2</t>
  </si>
  <si>
    <t>Training 3</t>
  </si>
  <si>
    <t>Training 4</t>
  </si>
  <si>
    <t>Training 5</t>
  </si>
  <si>
    <t>Training 6</t>
  </si>
  <si>
    <t>Training 7</t>
  </si>
  <si>
    <t>Training 8</t>
  </si>
  <si>
    <t>Training 9</t>
  </si>
  <si>
    <t>Training 10</t>
  </si>
  <si>
    <t>Training 11</t>
  </si>
  <si>
    <t>Training 12</t>
  </si>
  <si>
    <t>Training 13</t>
  </si>
  <si>
    <t>Training 14</t>
  </si>
  <si>
    <t>Training 15</t>
  </si>
  <si>
    <t>Training 16</t>
  </si>
  <si>
    <t>Training 17</t>
  </si>
  <si>
    <t>Training 18</t>
  </si>
  <si>
    <t>Training 19</t>
  </si>
  <si>
    <t>Training 20</t>
  </si>
  <si>
    <t>Training Hour</t>
  </si>
  <si>
    <t>Training By (Department)</t>
  </si>
  <si>
    <t>Trainer</t>
  </si>
  <si>
    <t>Total Training Hours</t>
  </si>
  <si>
    <t>Probability</t>
  </si>
  <si>
    <t>Severity</t>
  </si>
  <si>
    <t>Incident Category</t>
  </si>
  <si>
    <t>Injury / Ill Health</t>
  </si>
  <si>
    <t>Near Miss</t>
  </si>
  <si>
    <t>Property Damage</t>
  </si>
  <si>
    <t>Fire / Explosion</t>
  </si>
  <si>
    <t>Vehicle / Road</t>
  </si>
  <si>
    <t>Security</t>
  </si>
  <si>
    <t>Occupational Disease</t>
  </si>
  <si>
    <t>Dangerous Occurrence</t>
  </si>
  <si>
    <t>Incident Type</t>
  </si>
  <si>
    <t>Fatality</t>
  </si>
  <si>
    <t>Lost Time Injury (LTI)</t>
  </si>
  <si>
    <t>Restricted Work Case (RWC)</t>
  </si>
  <si>
    <t>Medical Treatment Case (MTC)</t>
  </si>
  <si>
    <t>First Aid Case (FAC)</t>
  </si>
  <si>
    <t>Unsafe Act</t>
  </si>
  <si>
    <t>Unsafe Condition</t>
  </si>
  <si>
    <t>Unsafe Equipment</t>
  </si>
  <si>
    <t>Unsafe Procedure</t>
  </si>
  <si>
    <t>Damage Type</t>
  </si>
  <si>
    <t>No Damage</t>
  </si>
  <si>
    <t>Equipment Damage</t>
  </si>
  <si>
    <t>Vehicle Damage</t>
  </si>
  <si>
    <t>Infrastructure Damage</t>
  </si>
  <si>
    <t>Product Damage</t>
  </si>
  <si>
    <t>Environmental Impact</t>
  </si>
  <si>
    <t>No Impact</t>
  </si>
  <si>
    <t>Spill (Oil / Chemical)</t>
  </si>
  <si>
    <t>Emission / Release</t>
  </si>
  <si>
    <t>Waste Non-Compliance</t>
  </si>
  <si>
    <t>Injury Type</t>
  </si>
  <si>
    <t>No Injury</t>
  </si>
  <si>
    <t>Cut / Laceration</t>
  </si>
  <si>
    <t>Fracture</t>
  </si>
  <si>
    <t>Sprain / Strain</t>
  </si>
  <si>
    <t>Burn</t>
  </si>
  <si>
    <t>Crush Injury</t>
  </si>
  <si>
    <t>Amputation</t>
  </si>
  <si>
    <t>Body Part Affected</t>
  </si>
  <si>
    <t>Head</t>
  </si>
  <si>
    <t>Eye</t>
  </si>
  <si>
    <t>Hand / Fingers</t>
  </si>
  <si>
    <t>Arm</t>
  </si>
  <si>
    <t>Leg / Foot</t>
  </si>
  <si>
    <t>Back / Spine</t>
  </si>
  <si>
    <t>Whole Body</t>
  </si>
  <si>
    <t>Immediate Cause</t>
  </si>
  <si>
    <t>Human Error</t>
  </si>
  <si>
    <t>Equipment Failure</t>
  </si>
  <si>
    <t>Poor Housekeeping</t>
  </si>
  <si>
    <t>Lack of PPE</t>
  </si>
  <si>
    <t>Unsafe Method</t>
  </si>
  <si>
    <t>Environmental Condition</t>
  </si>
  <si>
    <t>Inadequate Training</t>
  </si>
  <si>
    <t>Poor Supervision</t>
  </si>
  <si>
    <t>Procedure Not Followed</t>
  </si>
  <si>
    <t>Procedure Not Available</t>
  </si>
  <si>
    <t>Poor Risk Assessment</t>
  </si>
  <si>
    <t>Design Issue</t>
  </si>
  <si>
    <t>Root Cause</t>
  </si>
  <si>
    <t>Incident Status</t>
  </si>
  <si>
    <t>Open</t>
  </si>
  <si>
    <t>Under Investigation</t>
  </si>
  <si>
    <t>Action in Progress</t>
  </si>
  <si>
    <t>Incident Date</t>
  </si>
  <si>
    <t>Risk Rating</t>
  </si>
  <si>
    <t>this is a brief description.</t>
  </si>
  <si>
    <t>Brief Description (Text)</t>
  </si>
  <si>
    <t>TBT Date</t>
  </si>
  <si>
    <t>TBT Topic</t>
  </si>
  <si>
    <t>TBT Topic 1</t>
  </si>
  <si>
    <t>TBT Topic 2</t>
  </si>
  <si>
    <t>TBT Topic 3</t>
  </si>
  <si>
    <t>TBT Topic 4</t>
  </si>
  <si>
    <t>TBT Topic 5</t>
  </si>
  <si>
    <t>TBT Topic 6</t>
  </si>
  <si>
    <t>TBT Topic 7</t>
  </si>
  <si>
    <t>TBT Topic 8</t>
  </si>
  <si>
    <t>TBT Topic 9</t>
  </si>
  <si>
    <t>TBT Topic 10</t>
  </si>
  <si>
    <t>TBT Topic 11</t>
  </si>
  <si>
    <t>TBT Topic 12</t>
  </si>
  <si>
    <t>TBT Topic 13</t>
  </si>
  <si>
    <t>TBT Topic 14</t>
  </si>
  <si>
    <t>TBT Topic 15</t>
  </si>
  <si>
    <t>TBT Topic 16</t>
  </si>
  <si>
    <t>TBT Topic 17</t>
  </si>
  <si>
    <t>TBT Topic 18</t>
  </si>
  <si>
    <t>TBT Topic 19</t>
  </si>
  <si>
    <t>TBT Topic 20</t>
  </si>
  <si>
    <t>TBT By (Department)</t>
  </si>
  <si>
    <t>Drill Date</t>
  </si>
  <si>
    <t>Drill Scenario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</si>
  <si>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</si>
  <si>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</si>
  <si>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</si>
  <si>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</si>
  <si>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</si>
  <si>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</si>
  <si>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</si>
  <si>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</si>
  <si>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</si>
  <si>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</si>
  <si>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</si>
  <si>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</si>
  <si>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</si>
  <si>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</si>
  <si>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</si>
  <si>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Scenario 16</t>
  </si>
  <si>
    <t>Scenario 17</t>
  </si>
  <si>
    <t>Scenario 18</t>
  </si>
  <si>
    <t>Scenario 19</t>
  </si>
  <si>
    <t>Scenario 20</t>
  </si>
  <si>
    <t>Near Miss Date</t>
  </si>
  <si>
    <t>Near Miss Category</t>
  </si>
  <si>
    <t>Near Miss Type</t>
  </si>
  <si>
    <t>Working at Height Without Protection</t>
  </si>
  <si>
    <t>Standing Under Suspended Load</t>
  </si>
  <si>
    <t>No PTW</t>
  </si>
  <si>
    <t>Incorrect Isolation (LOTO Failure)</t>
  </si>
  <si>
    <t>Missing Safety Guard</t>
  </si>
  <si>
    <t>Falling Object Risk</t>
  </si>
  <si>
    <t>Pedestrian–Vehicle Interface</t>
  </si>
  <si>
    <t>Reversing Without Banksman</t>
  </si>
  <si>
    <t>Broken Ladder</t>
  </si>
  <si>
    <t>Bypassing Guard</t>
  </si>
  <si>
    <t>Blocked Emergency Exit</t>
  </si>
  <si>
    <t>Simultaneous Operations Not Controlled</t>
  </si>
  <si>
    <t>Defective Lifting Sling</t>
  </si>
  <si>
    <t>Operating Equipment Without Authorization</t>
  </si>
  <si>
    <t>Oil Spill</t>
  </si>
  <si>
    <t>Dropdown</t>
  </si>
  <si>
    <t>Auto, don’t change</t>
  </si>
  <si>
    <t>Manual entry, put number only</t>
  </si>
  <si>
    <t>Manuall entry, put date</t>
  </si>
  <si>
    <t>Manuall entry, put numbers only</t>
  </si>
  <si>
    <t>Manual entry, put text</t>
  </si>
  <si>
    <t>Read Me – How to Use This Template</t>
  </si>
  <si>
    <t>This file contains sample data to demonstrate how the registers, calculations, and visuals work together.</t>
  </si>
  <si>
    <t>To adapt this template to your organization:</t>
  </si>
  <si>
    <r>
      <t xml:space="preserve">1. Go to the </t>
    </r>
    <r>
      <rPr>
        <b/>
        <sz val="10"/>
        <color theme="1"/>
        <rFont val="Arial Unicode MS"/>
      </rPr>
      <t>DataCall</t>
    </r>
    <r>
      <rPr>
        <b/>
        <sz val="11"/>
        <color theme="1"/>
        <rFont val="Calibri"/>
        <family val="2"/>
        <scheme val="minor"/>
      </rPr>
      <t xml:space="preserve"> sheet</t>
    </r>
  </si>
  <si>
    <t>Update all names and labels to match your workplace:</t>
  </si>
  <si>
    <t>Business Units</t>
  </si>
  <si>
    <t>Sites / Projects</t>
  </si>
  <si>
    <t>Employee or Owner names</t>
  </si>
  <si>
    <t>Auditors, departments, or locations</t>
  </si>
  <si>
    <t>2. Do not change column headers</t>
  </si>
  <si>
    <t>Column names are linked to formulas and Power BI visuals.</t>
  </si>
  <si>
    <r>
      <t xml:space="preserve">You may change the </t>
    </r>
    <r>
      <rPr>
        <b/>
        <sz val="11"/>
        <color theme="1"/>
        <rFont val="Calibri"/>
        <family val="2"/>
        <scheme val="minor"/>
      </rPr>
      <t>values inside the columns</t>
    </r>
    <r>
      <rPr>
        <sz val="11"/>
        <color theme="1"/>
        <rFont val="Calibri"/>
        <family val="2"/>
        <scheme val="minor"/>
      </rPr>
      <t>, but not the headers themselves.</t>
    </r>
  </si>
  <si>
    <r>
      <t xml:space="preserve">3. Update register sheets only with valid values from </t>
    </r>
    <r>
      <rPr>
        <b/>
        <sz val="10"/>
        <color theme="1"/>
        <rFont val="Arial Unicode MS"/>
      </rPr>
      <t>DataCall</t>
    </r>
  </si>
  <si>
    <t>Use the dropdowns where available. This keeps data consistent and prevents errors.</t>
  </si>
  <si>
    <t>4. Replace sample records gradually</t>
  </si>
  <si>
    <t>You can delete sample rows once you understand the structure and start entering real data.</t>
  </si>
  <si>
    <t>5. Power BI connection</t>
  </si>
  <si>
    <t>After updating data, refresh the Power BI file to reflect your changes.</t>
  </si>
  <si>
    <r>
      <t xml:space="preserve">This approach allows you to fully customize the content </t>
    </r>
    <r>
      <rPr>
        <b/>
        <sz val="11"/>
        <color theme="1"/>
        <rFont val="Calibri"/>
        <family val="2"/>
        <scheme val="minor"/>
      </rPr>
      <t>without breaking the logic, formulas, or dashboards</t>
    </r>
    <r>
      <rPr>
        <sz val="11"/>
        <color theme="1"/>
        <rFont val="Calibri"/>
        <family val="2"/>
        <scheme val="minor"/>
      </rPr>
      <t>.</t>
    </r>
  </si>
  <si>
    <t>If you choose to share your Power BI visuals publicly, feel free to post them on LinkedIn and tag me.</t>
  </si>
  <si>
    <t>I’d be glad to see how the dashboards look in different workplaces.</t>
  </si>
  <si>
    <t xml:space="preserve">All the best. </t>
  </si>
  <si>
    <t>Taner Cetinkaya</t>
  </si>
  <si>
    <t xml:space="preserve">https://www.linkedin.com/in/tanercetinkaya/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</si>
</sst>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0\ &quot;Hour(s)&quot;"/>
    <numFmt numFmtId="166" formatCode="0\ &quot;Hours&quot;"/>
    <numFmt numFmtId="167" formatCode="0\ &quot;Manhours&quot;"/>
  </numFmts>
  <fonts count="1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9" fontId="0" fillId="0" borderId="0" xfId="1" applyFont="1"/>
    <xf numFmtId="1" fontId="0" fillId="0" borderId="0" xfId="1" applyNumberFormat="1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1" applyNumberFormat="1" applyFont="1" applyAlignment="1">
      <alignment wrapText="1"/>
    </xf>
    <xf numFmtId="165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66" fontId="0" fillId="0" borderId="0" xfId="1" applyNumberFormat="1" applyFont="1" applyAlignment="1">
      <alignment wrapText="1"/>
    </xf>
    <xf numFmtId="167" fontId="0" fillId="0" borderId="0" xfId="0" applyNumberFormat="1"/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10" fillId="0" borderId="0" xfId="2"/>
  </cellXfs>
  <cellStyles count="3">
    <cellStyle name="Hyperlink" xfId="2" builtinId="8"/>
    <cellStyle name="Normal" xfId="0" builtinId="0"/>
    <cellStyle name="Percent" xfId="1" builtinId="5"/>
  </cellStyles>
  <dxfs count="150"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\ &quot;Hour(s)&quot;"/>
      <alignment horizontal="general" vertical="bottom" textRotation="0" wrapText="1" indent="0" justifyLastLine="0" shrinkToFit="0" readingOrder="0"/>
    </dxf>
    <dxf>
      <numFmt numFmtId="165" formatCode="0\ &quot;Hour(s)&quot;"/>
      <alignment horizontal="general" vertical="bottom" textRotation="0" wrapText="1" indent="0" justifyLastLine="0" shrinkToFit="0" readingOrder="0"/>
    </dxf>
    <dxf>
      <numFmt numFmtId="164" formatCode="[$-409]d\-mmm\-yy;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[$-409]d\-mmm\-yy;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[$-409]d\-mmm\-yy;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\ &quot;Hour(s)&quot;"/>
      <alignment horizontal="general" vertical="bottom" textRotation="0" wrapText="1" indent="0" justifyLastLine="0" shrinkToFit="0" readingOrder="0"/>
    </dxf>
    <dxf>
      <numFmt numFmtId="165" formatCode="0\ &quot;Hour(s)&quot;"/>
      <alignment horizontal="general" vertical="bottom" textRotation="0" wrapText="1" indent="0" justifyLastLine="0" shrinkToFit="0" readingOrder="0"/>
    </dxf>
    <dxf>
      <numFmt numFmtId="164" formatCode="[$-409]d\-mmm\-yy;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\ &quot;Hours&quot;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\ &quot;Hour(s)&quot;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[$-409]d\-mmm\-yy;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164" formatCode="[$-409]d\-mmm\-yy;@"/>
    </dxf>
    <dxf>
      <numFmt numFmtId="167" formatCode="0\ &quot;Manhours&quot;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38141-6314-4F80-BA40-A627A438EA63}" name="BusinessUnit" displayName="BusinessUnit" ref="A1:A19" totalsRowShown="0" headerRowDxfId="149" dataDxfId="148">
  <autoFilter ref="A1:A19" xr:uid="{3A438141-6314-4F80-BA40-A627A438EA63}"/>
  <tableColumns count="1">
    <tableColumn id="1" xr3:uid="{5B0668E1-1F4B-4B30-AD69-F36541BB4D7F}" name="Business Unit" dataDxfId="1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3385C-A2E3-4A4D-B038-F80C2CE42C44}" name="SiteProject" displayName="SiteProject" ref="C1:C19" totalsRowShown="0" headerRowDxfId="146" dataDxfId="145">
  <autoFilter ref="C1:C19" xr:uid="{DAF3385C-A2E3-4A4D-B038-F80C2CE42C44}"/>
  <tableColumns count="1">
    <tableColumn id="1" xr3:uid="{670A61A0-9B1C-4A4B-B03F-EE721E75F742}" name="Site / Project" dataDxfId="14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2EC87C-6BDC-43F7-84A3-67E3B8C8E079}" name="Department" displayName="Department" ref="O1:O10" totalsRowShown="0" headerRowDxfId="143" dataDxfId="142">
  <autoFilter ref="O1:O10" xr:uid="{952EC87C-6BDC-43F7-84A3-67E3B8C8E079}"/>
  <tableColumns count="1">
    <tableColumn id="1" xr3:uid="{F14D7E32-CD13-4389-BB29-F0E0C088DD35}" name="Department" dataDxfId="14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8A6C76-F8BF-4121-8F2F-5A5615BEEDDF}" name="KPICagetory" displayName="KPICagetory" ref="Q1:Q3" totalsRowShown="0" headerRowDxfId="140" dataDxfId="139">
  <autoFilter ref="Q1:Q3" xr:uid="{EC8A6C76-F8BF-4121-8F2F-5A5615BEEDDF}"/>
  <tableColumns count="1">
    <tableColumn id="1" xr3:uid="{030C6311-FA51-4F75-9FF5-2A568BEAB954}" name="KPI Category" dataDxfId="13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CE71E4-70A8-4EC2-9ABF-9845130EA76C}" name="KPI_Name" displayName="KPI_Name" ref="S1:S19" totalsRowShown="0" headerRowDxfId="137" dataDxfId="136">
  <autoFilter ref="S1:S19" xr:uid="{5ACE71E4-70A8-4EC2-9ABF-9845130EA76C}"/>
  <tableColumns count="1">
    <tableColumn id="1" xr3:uid="{24579024-F7B2-4993-9910-72C9F80C56BE}" name="KPI Name" dataDxfId="13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4D0327-4BD3-4C1F-94D4-B5F10DE6A4B8}" name="Measure" displayName="Measure" ref="U1:U3" totalsRowShown="0" headerRowDxfId="134" dataDxfId="133">
  <autoFilter ref="U1:U3" xr:uid="{CD4D0327-4BD3-4C1F-94D4-B5F10DE6A4B8}"/>
  <tableColumns count="1">
    <tableColumn id="1" xr3:uid="{EF2755EA-67EB-480C-922E-01869042C138}" name="Unit of Measure" dataDxfId="13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67738E-5817-4652-86D1-272739540601}" name="ReportingFrequency" displayName="ReportingFrequency" ref="W1:W5" totalsRowShown="0" headerRowDxfId="131" dataDxfId="130">
  <autoFilter ref="W1:W5" xr:uid="{BB67738E-5817-4652-86D1-272739540601}"/>
  <tableColumns count="1">
    <tableColumn id="1" xr3:uid="{EFD41109-7482-415C-B35E-A1AAED90D77C}" name="Reporting Frequency" dataDxfId="12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8A7FFF3-97AF-4915-A798-1CD957449629}" name="Owner" displayName="Owner" ref="E1:E19" totalsRowShown="0" headerRowDxfId="128" dataDxfId="127">
  <autoFilter ref="E1:E19" xr:uid="{68A7FFF3-97AF-4915-A798-1CD957449629}"/>
  <tableColumns count="1">
    <tableColumn id="1" xr3:uid="{F00F44E1-87A8-4625-B461-883C41B79C8B}" name="Owner" dataDxfId="12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344E35-0A38-43EA-989A-374CF85B23B8}" name="RiskLevel" displayName="RiskLevel" ref="Y1:Y4" totalsRowShown="0" headerRowDxfId="125" dataDxfId="124">
  <autoFilter ref="Y1:Y4" xr:uid="{33344E35-0A38-43EA-989A-374CF85B23B8}"/>
  <tableColumns count="1">
    <tableColumn id="1" xr3:uid="{18217FA5-2C32-4864-BBE0-758978B65352}" name="Risk Level" dataDxfId="12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97BE08-B064-4CED-97C0-5D5402B93848}" name="Status" displayName="Status" ref="AA1:AA4" totalsRowShown="0" headerRowDxfId="122" dataDxfId="121">
  <autoFilter ref="AA1:AA4" xr:uid="{4297BE08-B064-4CED-97C0-5D5402B93848}"/>
  <tableColumns count="1">
    <tableColumn id="1" xr3:uid="{A4979976-2841-4224-9FCF-3C76055F7652}" name="Status" dataDxfId="12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56F6CC1-178F-48B3-8217-96032EF8ED79}" name="Year" displayName="Year" ref="AC1:AC7" totalsRowShown="0" headerRowDxfId="119" dataDxfId="118">
  <autoFilter ref="AC1:AC7" xr:uid="{556F6CC1-178F-48B3-8217-96032EF8ED79}"/>
  <tableColumns count="1">
    <tableColumn id="1" xr3:uid="{433785CE-E571-4F74-A242-6511BCDF3709}" name="Year" dataDxfId="11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B3CC8-3487-48BA-BA08-F8DAE39BFA4B}" name="Month" displayName="Month" ref="AE1:AE13" totalsRowShown="0" headerRowDxfId="116" dataDxfId="115">
  <autoFilter ref="AE1:AE13" xr:uid="{000B3CC8-3487-48BA-BA08-F8DAE39BFA4B}"/>
  <tableColumns count="1">
    <tableColumn id="1" xr3:uid="{A2C3C29E-A173-4F1A-9281-EAB3F8B44167}" name="Month" dataDxfId="11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355BB-715D-4849-B8EF-648DE7CEEA66}" name="Performed" displayName="Performed" ref="G1:G13" totalsRowShown="0" headerRowDxfId="113" dataDxfId="112">
  <autoFilter ref="G1:G13" xr:uid="{000355BB-715D-4849-B8EF-648DE7CEEA66}"/>
  <tableColumns count="1">
    <tableColumn id="1" xr3:uid="{D0757207-314C-4F51-96D5-CB63ADCA7074}" name="Performed By" dataDxfId="11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6D58E09-8749-4DD9-8EB3-59D8878B30A5}" name="TRName" displayName="TRName" ref="I1:I21" totalsRowShown="0" headerRowDxfId="110" dataDxfId="109">
  <autoFilter ref="I1:I21" xr:uid="{A6D58E09-8749-4DD9-8EB3-59D8878B30A5}"/>
  <tableColumns count="1">
    <tableColumn id="1" xr3:uid="{3F7CB32D-E636-4E2F-8339-46B8C45F4AAD}" name="Training Name" dataDxfId="10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500620D-E6EE-4469-A055-D87C3F8718A7}" name="Probability" displayName="Probability" ref="AG1:AG6" totalsRowShown="0" headerRowDxfId="107" dataDxfId="106">
  <autoFilter ref="AG1:AG6" xr:uid="{D500620D-E6EE-4469-A055-D87C3F8718A7}"/>
  <tableColumns count="1">
    <tableColumn id="1" xr3:uid="{5A8DF8D7-FC53-4AE8-80DA-6B43155EFA33}" name="Probability" dataDxfId="10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4A9E540-4336-4A99-B85D-E66554324762}" name="Severity" displayName="Severity" ref="AI1:AI6" totalsRowShown="0" headerRowDxfId="104" dataDxfId="103">
  <autoFilter ref="AI1:AI6" xr:uid="{B4A9E540-4336-4A99-B85D-E66554324762}"/>
  <tableColumns count="1">
    <tableColumn id="1" xr3:uid="{91E633A9-93FD-4FB6-8A0F-FED0B84D6D5F}" name="Severity" dataDxfId="10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9342DCB-3DBA-4A38-89B5-476A8A8A8CF8}" name="Inc_Category" displayName="Inc_Category" ref="AK1:AK10" totalsRowShown="0" headerRowDxfId="101">
  <autoFilter ref="AK1:AK10" xr:uid="{D9342DCB-3DBA-4A38-89B5-476A8A8A8CF8}"/>
  <tableColumns count="1">
    <tableColumn id="1" xr3:uid="{3EFFFA98-F349-4E2C-9D9E-B60A436A4C48}" name="Incident Category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EFB32D7-6529-429E-B13C-48CDB3B0555B}" name="Inc_Type" displayName="Inc_Type" ref="AM1:AM6" totalsRowShown="0" headerRowDxfId="100">
  <autoFilter ref="AM1:AM6" xr:uid="{0EFB32D7-6529-429E-B13C-48CDB3B0555B}"/>
  <tableColumns count="1">
    <tableColumn id="1" xr3:uid="{7DFBCCE3-792A-4531-9CE2-D3AA10CC46D8}" name="Incident Type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6113DAD-AA61-4D41-829A-C25D2F9B3319}" name="NMCategory" displayName="NMCategory" ref="BC1:BC5" totalsRowShown="0" headerRowDxfId="99">
  <autoFilter ref="BC1:BC5" xr:uid="{96113DAD-AA61-4D41-829A-C25D2F9B3319}"/>
  <tableColumns count="1">
    <tableColumn id="1" xr3:uid="{E6E27135-3C69-4F87-BB48-5D7AB708C529}" name="Near Miss Category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887EBE2-BEED-4529-A9A2-B762B84985AD}" name="DamageType" displayName="DamageType" ref="AS1:AS6" totalsRowShown="0" headerRowDxfId="98">
  <autoFilter ref="AS1:AS6" xr:uid="{8887EBE2-BEED-4529-A9A2-B762B84985AD}"/>
  <tableColumns count="1">
    <tableColumn id="1" xr3:uid="{E6761D65-9390-4384-9E5B-64774CD0DED8}" name="Damage Type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A9934A5-C428-439E-88C7-8192BE3CA9BE}" name="Env_Impact" displayName="Env_Impact" ref="AU1:AU5" totalsRowShown="0" headerRowDxfId="97">
  <autoFilter ref="AU1:AU5" xr:uid="{FA9934A5-C428-439E-88C7-8192BE3CA9BE}"/>
  <tableColumns count="1">
    <tableColumn id="1" xr3:uid="{351DEC0F-BA49-4374-93C5-68E7BD0871B4}" name="Environmental Impact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D39FF66-D6EA-467F-9532-DB230FDBC44F}" name="InjuryType" displayName="InjuryType" ref="AO1:AO8" totalsRowShown="0" headerRowDxfId="96">
  <autoFilter ref="AO1:AO8" xr:uid="{9D39FF66-D6EA-467F-9532-DB230FDBC44F}"/>
  <tableColumns count="1">
    <tableColumn id="1" xr3:uid="{046B51E2-A5ED-48B5-8328-04E3267BD06D}" name="Injury Type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06A7D41-2D30-4930-B862-C0DCC51C7899}" name="BodyPart" displayName="BodyPart" ref="AQ1:AQ9" totalsRowShown="0" headerRowDxfId="95">
  <autoFilter ref="AQ1:AQ9" xr:uid="{906A7D41-2D30-4930-B862-C0DCC51C7899}"/>
  <tableColumns count="1">
    <tableColumn id="1" xr3:uid="{11DDFEF0-D421-4969-9DF3-89130404D173}" name="Body Part Affected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27FDC3D-0D1D-45CD-A681-3EEA0A11AAAB}" name="ImmediateCause" displayName="ImmediateCause" ref="AW1:AW7" totalsRowShown="0" headerRowDxfId="94">
  <autoFilter ref="AW1:AW7" xr:uid="{227FDC3D-0D1D-45CD-A681-3EEA0A11AAAB}"/>
  <tableColumns count="1">
    <tableColumn id="1" xr3:uid="{8B63864D-83A9-4718-83DD-C05FDE548633}" name="Immediate Cause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828F2C2-533B-461B-B263-8A434EC13CB9}" name="RootCause" displayName="RootCause" ref="AY1:AY7" totalsRowShown="0" headerRowDxfId="93">
  <autoFilter ref="AY1:AY7" xr:uid="{A828F2C2-533B-461B-B263-8A434EC13CB9}"/>
  <tableColumns count="1">
    <tableColumn id="1" xr3:uid="{9699AA46-38FB-493C-8424-8A8DDE54AFB8}" name="Root Cause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B83BFCA-92B4-430F-952F-E21D379262DA}" name="IncidenStatus" displayName="IncidenStatus" ref="BA1:BA5" totalsRowShown="0" headerRowDxfId="92">
  <autoFilter ref="BA1:BA5" xr:uid="{0B83BFCA-92B4-430F-952F-E21D379262DA}"/>
  <tableColumns count="1">
    <tableColumn id="1" xr3:uid="{9A54EE16-1E19-45E4-B631-E042BC8C00AE}" name="Incident Status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6D17D16-4EC7-4039-9A82-8A9055E0DDA9}" name="TBTName" displayName="TBTName" ref="K1:K21" totalsRowShown="0" headerRowDxfId="91" dataDxfId="90">
  <autoFilter ref="K1:K21" xr:uid="{36D17D16-4EC7-4039-9A82-8A9055E0DDA9}"/>
  <tableColumns count="1">
    <tableColumn id="1" xr3:uid="{97929B7E-DDFF-4385-B40C-7BCA6321B815}" name="TBT Topic" dataDxfId="89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0CC3961-81F9-4A0C-ADBA-6FA3DB591BBB}" name="DrillName" displayName="DrillName" ref="M1:M21" totalsRowShown="0" headerRowDxfId="88" dataDxfId="87">
  <autoFilter ref="M1:M21" xr:uid="{90CC3961-81F9-4A0C-ADBA-6FA3DB591BBB}"/>
  <tableColumns count="1">
    <tableColumn id="1" xr3:uid="{9BF5E252-CE35-45A4-8E31-517F2C183437}" name="Drill Scenario" dataDxfId="86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21E9BC6-717B-4553-8EDE-B58902428366}" name="NMType" displayName="NMType" ref="BE1:BE16" totalsRowShown="0" headerRowDxfId="85" dataDxfId="84">
  <autoFilter ref="BE1:BE16" xr:uid="{E21E9BC6-717B-4553-8EDE-B58902428366}"/>
  <tableColumns count="1">
    <tableColumn id="1" xr3:uid="{301CF3B8-FC81-45B6-BF1E-DC1EA8D9FEA2}" name="Near Miss Type" dataDxfId="83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7671D4-BA89-48D0-A07A-5A75654971DC}" name="_Manhours" displayName="_Manhours" ref="A4:F72" totalsRowShown="0">
  <autoFilter ref="A4:F72" xr:uid="{307671D4-BA89-48D0-A07A-5A75654971DC}"/>
  <tableColumns count="6">
    <tableColumn id="1" xr3:uid="{42949E0A-97FE-4CD7-BC4F-F96605F7E459}" name="No"/>
    <tableColumn id="2" xr3:uid="{A01FA1FF-E132-4C6C-8C23-7C1B034DCAE1}" name="Business Unit"/>
    <tableColumn id="7" xr3:uid="{8E67B0D7-7210-4874-BB19-F935CC5CE5DD}" name="Site / Project"/>
    <tableColumn id="3" xr3:uid="{A1B32453-2B2B-4CDF-A1CB-4FDBF780109B}" name="Month"/>
    <tableColumn id="4" xr3:uid="{6B4974AF-745F-4370-AB4D-FBE92D771DB1}" name="Year"/>
    <tableColumn id="5" xr3:uid="{33F2D2E8-79BA-4123-8A7B-9FFC666A807A}" name="Manhours" dataDxfId="82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6524DC-44D5-4695-926C-143C4CA2A3F9}" name="_AudReg" displayName="_AudReg" ref="A4:L19" totalsRowShown="0">
  <autoFilter ref="A4:L19" xr:uid="{956524DC-44D5-4695-926C-143C4CA2A3F9}"/>
  <tableColumns count="12">
    <tableColumn id="1" xr3:uid="{0720202C-1131-426D-A629-A39D8C48FA87}" name="No"/>
    <tableColumn id="2" xr3:uid="{27ABC709-887A-4743-A14F-C3AC9728B52E}" name="Business Unit"/>
    <tableColumn id="7" xr3:uid="{1F3EBBB3-4E6E-47E1-82CD-16B706658B1F}" name="Site / Project"/>
    <tableColumn id="3" xr3:uid="{6E9AACB6-3049-49D8-B9EE-0BDCFBA08263}" name="Month"/>
    <tableColumn id="4" xr3:uid="{619335AC-399E-49EE-8D3B-B05C4FF2178D}" name="Year"/>
    <tableColumn id="5" xr3:uid="{0ACBDDF7-D30C-46C6-AC6D-A41A41458B41}" name="Audit Date" dataDxfId="81"/>
    <tableColumn id="6" xr3:uid="{1A98A600-8E75-4EAF-898E-396E61B353BF}" name="Audit Score" dataCellStyle="Percent"/>
    <tableColumn id="11" xr3:uid="{A5EA2DC4-3F5B-4FEF-9606-B59213D4FFC4}" name="Failed Items" dataDxfId="80" dataCellStyle="Percent"/>
    <tableColumn id="12" xr3:uid="{47FC7762-0E60-4EE2-92E1-E6024887084A}" name="Closed Items" dataDxfId="79" dataCellStyle="Percent"/>
    <tableColumn id="13" xr3:uid="{834694B4-2042-4774-B1E9-25ACB753469B}" name="Close-Out Ratio" dataDxfId="78" dataCellStyle="Percent">
      <calculatedColumnFormula>_AudReg[[#This Row],[Closed Items]]/_AudReg[[#This Row],[Failed Items]]</calculatedColumnFormula>
    </tableColumn>
    <tableColumn id="9" xr3:uid="{5C22551A-D9AF-4C9A-929D-134E01AEC5D3}" name="Owner"/>
    <tableColumn id="10" xr3:uid="{1CD28F25-4902-4F92-9515-144DF0D4DED1}" name="Audited By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E4D1897-A91A-489E-86AA-1DEEBB4211EE}" name="_TrainingReg" displayName="_TrainingReg" ref="A4:L43" totalsRowShown="0" headerRowDxfId="77" dataDxfId="76">
  <autoFilter ref="A4:L43" xr:uid="{DE4D1897-A91A-489E-86AA-1DEEBB4211EE}"/>
  <tableColumns count="12">
    <tableColumn id="1" xr3:uid="{3078DC19-21D9-494F-8072-40F049DB3806}" name="No" dataDxfId="75"/>
    <tableColumn id="2" xr3:uid="{5A2FAF99-258B-4E56-9C1D-03986CC33CEA}" name="Business Unit" dataDxfId="74"/>
    <tableColumn id="7" xr3:uid="{422D2DD3-38CF-44F8-9921-D5ADDC130133}" name="Site / Project" dataDxfId="73"/>
    <tableColumn id="3" xr3:uid="{B402BAD3-CB7A-4E4D-A113-60221354030A}" name="Month" dataDxfId="72"/>
    <tableColumn id="4" xr3:uid="{9AB6D763-CC50-40D2-86C1-340423714BCF}" name="Year" dataDxfId="71"/>
    <tableColumn id="5" xr3:uid="{B56A58CA-6D05-4B78-BEB8-74754CCCE4F9}" name="Training Date" dataDxfId="70"/>
    <tableColumn id="6" xr3:uid="{FC542E7C-50C9-41AD-BD4D-9CC49E739C56}" name="Training Name" dataDxfId="69" dataCellStyle="Percent"/>
    <tableColumn id="12" xr3:uid="{8E5C3472-3A1E-45E9-86BB-18905AA0139C}" name="Training Hour" dataDxfId="68" dataCellStyle="Percent"/>
    <tableColumn id="11" xr3:uid="{6550A36B-0EA1-498A-986E-5FD538612D0A}" name="Number of Attendees" dataDxfId="67" dataCellStyle="Percent"/>
    <tableColumn id="14" xr3:uid="{789AAB13-A66D-41C1-9EC2-D93222BA905D}" name="Total Training Hours" dataDxfId="66" dataCellStyle="Percent">
      <calculatedColumnFormula>_TrainingReg[[#This Row],[Number of Attendees]]*_TrainingReg[[#This Row],[Training Hour]]</calculatedColumnFormula>
    </tableColumn>
    <tableColumn id="9" xr3:uid="{E6554871-12E3-4C56-9227-E59F01B0C3D5}" name="Training By (Department)" dataDxfId="65"/>
    <tableColumn id="10" xr3:uid="{3515BDB7-8315-44EF-96DF-B69C1F7C8B7E}" name="Trainer" dataDxfId="64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F3CF26F-94F8-4D36-925C-3B8063F699DF}" name="_IncReg" displayName="_IncReg" ref="A4:T9" totalsRowShown="0" headerRowDxfId="63" dataDxfId="62">
  <autoFilter ref="A4:T9" xr:uid="{1F3CF26F-94F8-4D36-925C-3B8063F699DF}"/>
  <tableColumns count="20">
    <tableColumn id="1" xr3:uid="{014380B8-7082-4673-B899-9C74B6ECEAD9}" name="No" dataDxfId="61"/>
    <tableColumn id="2" xr3:uid="{6ED86A66-8BAE-4EAE-A066-15FE1BF08DF4}" name="Business Unit" dataDxfId="60"/>
    <tableColumn id="7" xr3:uid="{F65E8857-ADCB-4D0B-A9E2-C9F5F6FA34DE}" name="Site / Project" dataDxfId="59"/>
    <tableColumn id="3" xr3:uid="{8D6CF5D3-DD68-4D31-95F0-A233C7B06B5E}" name="Month" dataDxfId="58"/>
    <tableColumn id="4" xr3:uid="{DBAA972E-32F4-4509-B4D0-B6D8CE44E088}" name="Year" dataDxfId="57"/>
    <tableColumn id="5" xr3:uid="{B7CC75CA-43B1-469B-925E-71B52E806025}" name="Incident Date" dataDxfId="56"/>
    <tableColumn id="6" xr3:uid="{3F6652F3-09B3-4A14-B945-31E686A1751A}" name="Incident Category" dataDxfId="55" dataCellStyle="Percent"/>
    <tableColumn id="12" xr3:uid="{F4EDC014-A919-4C6B-84FA-1FAE277B0C93}" name="Incident Type" dataDxfId="54" dataCellStyle="Percent"/>
    <tableColumn id="11" xr3:uid="{7E952E03-116D-460E-88C3-E60356DC9491}" name="Injury Type" dataDxfId="53" dataCellStyle="Percent"/>
    <tableColumn id="14" xr3:uid="{EBB10F20-F2E8-4B0D-9064-5B4D0572A4D4}" name="Body Part Affected" dataDxfId="52" dataCellStyle="Percent"/>
    <tableColumn id="9" xr3:uid="{978A0D94-E27E-4A6D-91D4-614527112660}" name="Damage Type" dataDxfId="51" dataCellStyle="Percent"/>
    <tableColumn id="10" xr3:uid="{CE13F450-DA88-45AD-8887-BD02FAC2F007}" name="Environmental Impact" dataDxfId="50" dataCellStyle="Percent"/>
    <tableColumn id="19" xr3:uid="{2CFDD3A8-0866-480C-BABB-AB193BEA850A}" name="Probability" dataDxfId="49" dataCellStyle="Percent"/>
    <tableColumn id="18" xr3:uid="{033C81C1-9EF5-4DFB-BD74-F17C9C6DC536}" name="Severity" dataDxfId="48" dataCellStyle="Percent"/>
    <tableColumn id="20" xr3:uid="{EB135722-D76C-4FA8-8F2A-402E55779B18}" name="Risk Rating" dataDxfId="47">
      <calculatedColumnFormula>_IncReg[[#This Row],[Severity]]*_IncReg[[#This Row],[Probability]]</calculatedColumnFormula>
    </tableColumn>
    <tableColumn id="15" xr3:uid="{6FEC5FF9-1693-4FD2-8E7E-8A27A2E78BB0}" name="Immediate Cause" dataDxfId="46" dataCellStyle="Percent"/>
    <tableColumn id="16" xr3:uid="{64BD47C6-C83F-4F1B-BB14-1C7098BA8103}" name="Root Cause" dataDxfId="45" dataCellStyle="Percent"/>
    <tableColumn id="17" xr3:uid="{E9EB2E53-9FA8-4D4A-A96A-B3C168287BA0}" name="Status" dataDxfId="44" dataCellStyle="Percent"/>
    <tableColumn id="21" xr3:uid="{6367736F-7577-426F-AF46-E07CDABDF9D5}" name="Owner" dataDxfId="43" dataCellStyle="Percent"/>
    <tableColumn id="22" xr3:uid="{9BF86C75-7649-43CC-9DA2-0BB5146334D0}" name="Brief Description (Text)" dataDxfId="42" dataCellStyle="Percent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2E24AD5-14F0-4115-8199-B4495C09DFB9}" name="_TBTReg" displayName="_TBTReg" ref="A4:J9" totalsRowShown="0" headerRowDxfId="41" dataDxfId="40">
  <autoFilter ref="A4:J9" xr:uid="{22E24AD5-14F0-4115-8199-B4495C09DFB9}"/>
  <tableColumns count="10">
    <tableColumn id="1" xr3:uid="{F5BAA967-FC2D-4284-A70A-A910110981F5}" name="No" dataDxfId="39"/>
    <tableColumn id="2" xr3:uid="{80038ECE-6318-4A39-A68C-29E1F43C3ACF}" name="Business Unit" dataDxfId="38"/>
    <tableColumn id="7" xr3:uid="{41683BD4-5367-4624-8CE9-07DD94C9880A}" name="Site / Project" dataDxfId="37"/>
    <tableColumn id="3" xr3:uid="{2575AE72-1DEC-48E2-BE82-23C866504558}" name="Month" dataDxfId="36"/>
    <tableColumn id="4" xr3:uid="{1D87981A-E435-4AD1-B7D5-A4D173E56229}" name="Year" dataDxfId="35"/>
    <tableColumn id="5" xr3:uid="{728B556F-72F0-4902-B280-72ECCB37AB1C}" name="TBT Date" dataDxfId="34"/>
    <tableColumn id="6" xr3:uid="{92A02773-7ED5-465F-A838-38CE00C1AADD}" name="TBT Topic" dataDxfId="33" dataCellStyle="Percent"/>
    <tableColumn id="11" xr3:uid="{64F6E9FF-5ADA-45BD-AEE4-4DF90606D2F4}" name="Number of Attendees" dataDxfId="32" dataCellStyle="Percent"/>
    <tableColumn id="9" xr3:uid="{25FDE9ED-453E-4E24-BC87-5746B9E568DF}" name="TBT By (Department)" dataDxfId="31"/>
    <tableColumn id="10" xr3:uid="{813BFF65-0C60-471F-80CF-89C1A49F4A10}" name="Trainer" dataDxfId="30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B545845-DD4D-41C5-B027-C0C44F823080}" name="_DrillReg" displayName="_DrillReg" ref="A4:J9" totalsRowShown="0" headerRowDxfId="29" dataDxfId="28">
  <autoFilter ref="A4:J9" xr:uid="{2B545845-DD4D-41C5-B027-C0C44F823080}"/>
  <tableColumns count="10">
    <tableColumn id="1" xr3:uid="{06459E9E-18E9-4F65-B3F9-4E3BDC05EFC5}" name="No" dataDxfId="27"/>
    <tableColumn id="2" xr3:uid="{AA67D91E-CA41-4A3D-8E23-96C4ACA539C0}" name="Business Unit" dataDxfId="26"/>
    <tableColumn id="7" xr3:uid="{7C5284A9-D5B9-4E53-AD6F-1A9D4273C66C}" name="Site / Project" dataDxfId="25"/>
    <tableColumn id="3" xr3:uid="{CBAB342A-E797-4E51-9D74-F5FDF07E48A9}" name="Month" dataDxfId="24"/>
    <tableColumn id="4" xr3:uid="{81DA16C4-3454-410E-97A6-F43BD45C9868}" name="Year" dataDxfId="23"/>
    <tableColumn id="5" xr3:uid="{3C6535ED-5B3C-4F70-A02C-BBDA9C8E7AE4}" name="Drill Date" dataDxfId="22"/>
    <tableColumn id="6" xr3:uid="{6E894E1A-F893-4F99-8EF7-AFF759F43A1D}" name="Drill Scenario" dataDxfId="21" dataCellStyle="Percent"/>
    <tableColumn id="11" xr3:uid="{FFAA90B8-D796-42E8-8947-18416F2A3253}" name="Number of Attendees" dataDxfId="20" dataCellStyle="Percent"/>
    <tableColumn id="9" xr3:uid="{8EEA0876-ADCE-4A51-83BD-852B375B5A77}" name="TBT By (Department)" dataDxfId="19"/>
    <tableColumn id="10" xr3:uid="{5C284393-B43B-4726-9FD7-43540D7C2A79}" name="Trainer" dataDxfId="18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9972F39-44E2-44DA-B570-1E7C84A73974}" name="_NMReg" displayName="_NMReg" ref="A4:P9" totalsRowShown="0" headerRowDxfId="17" dataDxfId="16">
  <autoFilter ref="A4:P9" xr:uid="{C9972F39-44E2-44DA-B570-1E7C84A73974}"/>
  <tableColumns count="16">
    <tableColumn id="1" xr3:uid="{1C2791E6-36A7-4F97-8270-62D7B6E3E219}" name="No" dataDxfId="15"/>
    <tableColumn id="2" xr3:uid="{0D3593AA-659C-450C-97F0-D1DDBF87EF04}" name="Business Unit" dataDxfId="14"/>
    <tableColumn id="7" xr3:uid="{F5248F91-0226-479C-B430-3A57A09EC708}" name="Site / Project" dataDxfId="13"/>
    <tableColumn id="3" xr3:uid="{17261768-33A1-4E23-9C70-1632DFCAE0A9}" name="Month" dataDxfId="12"/>
    <tableColumn id="4" xr3:uid="{5D451DE7-F19B-4FED-8E64-E24049E568F4}" name="Year" dataDxfId="11"/>
    <tableColumn id="5" xr3:uid="{792AD0C3-42FE-4975-8EAB-F15CFD15C69B}" name="Near Miss Date" dataDxfId="10"/>
    <tableColumn id="6" xr3:uid="{D4A23304-82FC-4D5D-8B8F-329B534719B0}" name="Near Miss Category" dataDxfId="9" dataCellStyle="Percent"/>
    <tableColumn id="12" xr3:uid="{160D87BD-C1DA-4840-9AB1-2F6D57732FC1}" name="Near Miss Type" dataDxfId="8" dataCellStyle="Percent"/>
    <tableColumn id="19" xr3:uid="{D18C623F-A196-44DB-A89C-A4BC3C91E28E}" name="Probability" dataDxfId="7" dataCellStyle="Percent"/>
    <tableColumn id="18" xr3:uid="{6DAB0D46-2E77-4CC4-8494-C2117EE59ED7}" name="Severity" dataDxfId="6" dataCellStyle="Percent"/>
    <tableColumn id="20" xr3:uid="{5530A21F-789F-4C0E-801B-0F5A28DF7177}" name="Risk Rating" dataDxfId="5">
      <calculatedColumnFormula>_NMReg[[#This Row],[Severity]]*_NMReg[[#This Row],[Probability]]</calculatedColumnFormula>
    </tableColumn>
    <tableColumn id="15" xr3:uid="{E5C18C33-5B77-4B66-B83F-7A9C10CDA81D}" name="Immediate Cause" dataDxfId="4" dataCellStyle="Percent"/>
    <tableColumn id="16" xr3:uid="{3F1B7CB3-A9FB-449F-BD62-C4738E6DEF2D}" name="Root Cause" dataDxfId="3" dataCellStyle="Percent"/>
    <tableColumn id="17" xr3:uid="{82B77D8A-AC5D-4EAD-82B1-9F6337082369}" name="Status" dataDxfId="2" dataCellStyle="Percent"/>
    <tableColumn id="21" xr3:uid="{1CC6292A-8B6F-4DD2-9EF9-02D347DDD4E9}" name="Owner" dataDxfId="1" dataCellStyle="Percent"/>
    <tableColumn id="22" xr3:uid="{B7FCBF8E-B245-480B-9FE3-B657561BC205}" name="Brief Description (Text)" dataDxfId="0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tanercetinkay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C6AF-7CFD-407E-A83C-070A84F176F9}">
  <dimension ref="A2:A37"/>
  <sheetViews>
    <sheetView workbookViewId="0">
      <selection sqref="A1:XFD1"/>
    </sheetView>
  </sheetViews>
  <sheetFormatPr defaultRowHeight="15"/>
  <sheetData>
    <row r="2" spans="1:1" ht="23.25">
      <c r="A2" s="21" t="s">
        <v>307</v>
      </c>
    </row>
    <row r="4" spans="1:1">
      <c r="A4" t="s">
        <v>308</v>
      </c>
    </row>
    <row r="6" spans="1:1">
      <c r="A6" t="s">
        <v>309</v>
      </c>
    </row>
    <row r="7" spans="1:1">
      <c r="A7" s="22"/>
    </row>
    <row r="8" spans="1:1">
      <c r="A8" s="23" t="s">
        <v>310</v>
      </c>
    </row>
    <row r="9" spans="1:1">
      <c r="A9" s="22" t="s">
        <v>311</v>
      </c>
    </row>
    <row r="10" spans="1:1">
      <c r="A10" s="22"/>
    </row>
    <row r="11" spans="1:1">
      <c r="A11" s="24" t="s">
        <v>312</v>
      </c>
    </row>
    <row r="12" spans="1:1">
      <c r="A12" s="24" t="s">
        <v>313</v>
      </c>
    </row>
    <row r="13" spans="1:1">
      <c r="A13" s="24" t="s">
        <v>314</v>
      </c>
    </row>
    <row r="14" spans="1:1">
      <c r="A14" s="24" t="s">
        <v>315</v>
      </c>
    </row>
    <row r="15" spans="1:1">
      <c r="A15" s="22"/>
    </row>
    <row r="16" spans="1:1">
      <c r="A16" s="23" t="s">
        <v>316</v>
      </c>
    </row>
    <row r="17" spans="1:1">
      <c r="A17" s="22" t="s">
        <v>317</v>
      </c>
    </row>
    <row r="18" spans="1:1">
      <c r="A18" s="22" t="s">
        <v>318</v>
      </c>
    </row>
    <row r="19" spans="1:1">
      <c r="A19" s="22"/>
    </row>
    <row r="20" spans="1:1">
      <c r="A20" s="23" t="s">
        <v>319</v>
      </c>
    </row>
    <row r="21" spans="1:1">
      <c r="A21" s="22" t="s">
        <v>320</v>
      </c>
    </row>
    <row r="22" spans="1:1">
      <c r="A22" s="22"/>
    </row>
    <row r="23" spans="1:1">
      <c r="A23" s="23" t="s">
        <v>321</v>
      </c>
    </row>
    <row r="24" spans="1:1">
      <c r="A24" s="22" t="s">
        <v>322</v>
      </c>
    </row>
    <row r="25" spans="1:1">
      <c r="A25" s="22"/>
    </row>
    <row r="26" spans="1:1">
      <c r="A26" s="23" t="s">
        <v>323</v>
      </c>
    </row>
    <row r="27" spans="1:1">
      <c r="A27" s="22" t="s">
        <v>324</v>
      </c>
    </row>
    <row r="29" spans="1:1">
      <c r="A29" t="s">
        <v>325</v>
      </c>
    </row>
    <row r="31" spans="1:1">
      <c r="A31" t="s">
        <v>326</v>
      </c>
    </row>
    <row r="32" spans="1:1">
      <c r="A32" t="s">
        <v>327</v>
      </c>
    </row>
    <row r="34" spans="1:1">
      <c r="A34" t="s">
        <v>328</v>
      </c>
    </row>
    <row r="36" spans="1:1">
      <c r="A36" t="s">
        <v>329</v>
      </c>
    </row>
    <row r="37" spans="1:1">
      <c r="A37" s="25" t="s">
        <v>330</v>
      </c>
    </row>
  </sheetData>
  <sheetProtection algorithmName="SHA-512" hashValue="6ms5SY0Yn4tDWw/udH4/FTt1qeGVpnYqZOuOSq3mtNVmgY8ohUMqfrwbGYMBFs0NqRKg6pOLxYpPHfyU5GprEw==" saltValue="kVf8Drz42iNABmZmrXc43A==" spinCount="100000" sheet="1" objects="1" scenarios="1"/>
  <hyperlinks>
    <hyperlink ref="A37" r:id="rId1" xr:uid="{B96FA9F6-39E7-40AD-8023-A525728B6C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BF21"/>
  <sheetViews>
    <sheetView tabSelected="1" workbookViewId="0">
      <pane ySplit="1" topLeftCell="A2" activePane="bottomLeft" state="frozen"/>
      <selection pane="bottomLeft" activeCell="O27" sqref="O27"/>
    </sheetView>
  </sheetViews>
  <sheetFormatPr defaultRowHeight="15"/>
  <cols>
    <col min="1" max="1" width="15.140625" customWidth="1"/>
    <col min="2" max="2" width="2.7109375" customWidth="1"/>
    <col min="3" max="3" width="16" customWidth="1"/>
    <col min="4" max="4" width="2.7109375" customWidth="1"/>
    <col min="5" max="5" width="18" customWidth="1"/>
    <col min="6" max="6" width="2.7109375" customWidth="1"/>
    <col min="7" max="7" width="15.140625" customWidth="1"/>
    <col min="8" max="8" width="2.7109375" customWidth="1"/>
    <col min="9" max="9" width="15.140625" customWidth="1"/>
    <col min="10" max="10" width="2.7109375" customWidth="1"/>
    <col min="11" max="11" width="15.140625" customWidth="1"/>
    <col min="12" max="12" width="2.7109375" customWidth="1"/>
    <col min="13" max="13" width="15.140625" customWidth="1"/>
    <col min="14" max="14" width="2.7109375" customWidth="1"/>
    <col min="15" max="15" width="23" customWidth="1"/>
    <col min="16" max="16" width="2.7109375" customWidth="1"/>
    <col min="17" max="17" width="14.28515625" customWidth="1"/>
    <col min="18" max="18" width="2.7109375" customWidth="1"/>
    <col min="19" max="19" width="42" customWidth="1"/>
    <col min="20" max="20" width="2.7109375" customWidth="1"/>
    <col min="21" max="21" width="17.5703125" customWidth="1"/>
    <col min="22" max="22" width="2.7109375" customWidth="1"/>
    <col min="23" max="23" width="21.5703125" customWidth="1"/>
    <col min="24" max="24" width="2.7109375" customWidth="1"/>
    <col min="25" max="25" width="12" customWidth="1"/>
    <col min="26" max="26" width="2.7109375" customWidth="1"/>
    <col min="27" max="27" width="8.5703125" customWidth="1"/>
    <col min="28" max="28" width="2.7109375" customWidth="1"/>
    <col min="30" max="30" width="2.7109375" customWidth="1"/>
    <col min="32" max="32" width="2.7109375" customWidth="1"/>
    <col min="33" max="33" width="15.140625" customWidth="1"/>
    <col min="34" max="34" width="2.7109375" customWidth="1"/>
    <col min="35" max="35" width="15.140625" customWidth="1"/>
    <col min="36" max="36" width="2.7109375" customWidth="1"/>
    <col min="37" max="37" width="21.140625" bestFit="1" customWidth="1"/>
    <col min="38" max="38" width="2.7109375" customWidth="1"/>
    <col min="39" max="39" width="28.5703125" bestFit="1" customWidth="1"/>
    <col min="40" max="40" width="2.7109375" customWidth="1"/>
    <col min="41" max="41" width="28.5703125" bestFit="1" customWidth="1"/>
    <col min="42" max="42" width="2.7109375" customWidth="1"/>
    <col min="43" max="43" width="28.5703125" bestFit="1" customWidth="1"/>
    <col min="44" max="44" width="2.7109375" customWidth="1"/>
    <col min="45" max="45" width="28.5703125" bestFit="1" customWidth="1"/>
    <col min="46" max="46" width="2.7109375" customWidth="1"/>
    <col min="47" max="47" width="28.5703125" bestFit="1" customWidth="1"/>
    <col min="48" max="48" width="2.7109375" customWidth="1"/>
    <col min="49" max="49" width="28.5703125" bestFit="1" customWidth="1"/>
    <col min="50" max="50" width="2.7109375" customWidth="1"/>
    <col min="51" max="51" width="28.5703125" bestFit="1" customWidth="1"/>
    <col min="52" max="52" width="2.7109375" customWidth="1"/>
    <col min="53" max="53" width="28.5703125" bestFit="1" customWidth="1"/>
    <col min="54" max="54" width="2.7109375" customWidth="1"/>
    <col min="55" max="55" width="28.5703125" bestFit="1" customWidth="1"/>
    <col min="56" max="56" width="2.7109375" customWidth="1"/>
    <col min="57" max="57" width="57.7109375" customWidth="1"/>
    <col min="58" max="58" width="2.7109375" customWidth="1"/>
  </cols>
  <sheetData>
    <row r="1" spans="1:58" s="5" customFormat="1">
      <c r="A1" s="14" t="s">
        <v>0</v>
      </c>
      <c r="B1" s="1"/>
      <c r="C1" s="14" t="s">
        <v>1</v>
      </c>
      <c r="D1" s="1"/>
      <c r="E1" s="14" t="s">
        <v>7</v>
      </c>
      <c r="F1" s="1"/>
      <c r="G1" s="14" t="s">
        <v>121</v>
      </c>
      <c r="H1" s="1"/>
      <c r="I1" s="14" t="s">
        <v>142</v>
      </c>
      <c r="J1" s="1"/>
      <c r="K1" s="14" t="s">
        <v>239</v>
      </c>
      <c r="L1" s="1"/>
      <c r="M1" s="14" t="s">
        <v>262</v>
      </c>
      <c r="N1" s="1"/>
      <c r="O1" s="1" t="s">
        <v>2</v>
      </c>
      <c r="P1" s="1"/>
      <c r="Q1" s="1" t="s">
        <v>3</v>
      </c>
      <c r="R1" s="1"/>
      <c r="S1" s="1" t="s">
        <v>4</v>
      </c>
      <c r="T1" s="1"/>
      <c r="U1" s="1" t="s">
        <v>5</v>
      </c>
      <c r="V1" s="1"/>
      <c r="W1" s="1" t="s">
        <v>6</v>
      </c>
      <c r="X1" s="1"/>
      <c r="Y1" s="1" t="s">
        <v>8</v>
      </c>
      <c r="Z1" s="1"/>
      <c r="AA1" s="1" t="s">
        <v>9</v>
      </c>
      <c r="AB1" s="1"/>
      <c r="AC1" s="1" t="s">
        <v>49</v>
      </c>
      <c r="AD1" s="1"/>
      <c r="AE1" s="1" t="s">
        <v>50</v>
      </c>
      <c r="AF1" s="1"/>
      <c r="AG1" s="1" t="s">
        <v>168</v>
      </c>
      <c r="AH1" s="1"/>
      <c r="AI1" s="1" t="s">
        <v>169</v>
      </c>
      <c r="AJ1" s="1"/>
      <c r="AK1" s="1" t="s">
        <v>170</v>
      </c>
      <c r="AL1" s="1"/>
      <c r="AM1" s="1" t="s">
        <v>179</v>
      </c>
      <c r="AN1" s="1"/>
      <c r="AO1" s="1" t="s">
        <v>200</v>
      </c>
      <c r="AP1" s="1"/>
      <c r="AQ1" s="1" t="s">
        <v>208</v>
      </c>
      <c r="AR1" s="1"/>
      <c r="AS1" s="1" t="s">
        <v>189</v>
      </c>
      <c r="AT1" s="1"/>
      <c r="AU1" s="1" t="s">
        <v>195</v>
      </c>
      <c r="AV1" s="1"/>
      <c r="AW1" s="1" t="s">
        <v>216</v>
      </c>
      <c r="AX1" s="1"/>
      <c r="AY1" s="1" t="s">
        <v>229</v>
      </c>
      <c r="AZ1" s="1"/>
      <c r="BA1" s="1" t="s">
        <v>230</v>
      </c>
      <c r="BB1" s="1"/>
      <c r="BC1" s="1" t="s">
        <v>284</v>
      </c>
      <c r="BD1" s="1"/>
      <c r="BE1" s="1" t="s">
        <v>285</v>
      </c>
      <c r="BF1" s="1"/>
    </row>
    <row r="2" spans="1:58">
      <c r="A2" t="s">
        <v>10</v>
      </c>
      <c r="C2" t="s">
        <v>67</v>
      </c>
      <c r="E2" t="s">
        <v>88</v>
      </c>
      <c r="G2" t="s">
        <v>122</v>
      </c>
      <c r="I2" t="s">
        <v>144</v>
      </c>
      <c r="K2" t="s">
        <v>240</v>
      </c>
      <c r="M2" t="s">
        <v>263</v>
      </c>
      <c r="O2" t="s">
        <v>11</v>
      </c>
      <c r="Q2" t="s">
        <v>12</v>
      </c>
      <c r="S2" t="s">
        <v>13</v>
      </c>
      <c r="U2" t="s">
        <v>14</v>
      </c>
      <c r="W2" t="s">
        <v>85</v>
      </c>
      <c r="Y2" t="s">
        <v>36</v>
      </c>
      <c r="AA2" t="s">
        <v>17</v>
      </c>
      <c r="AC2">
        <v>2025</v>
      </c>
      <c r="AE2" t="s">
        <v>108</v>
      </c>
      <c r="AG2" s="10">
        <v>1</v>
      </c>
      <c r="AI2" s="10">
        <v>1</v>
      </c>
      <c r="AK2" t="s">
        <v>171</v>
      </c>
      <c r="AM2" t="s">
        <v>180</v>
      </c>
      <c r="AO2" t="s">
        <v>201</v>
      </c>
      <c r="AQ2" t="s">
        <v>201</v>
      </c>
      <c r="AS2" t="s">
        <v>190</v>
      </c>
      <c r="AU2" t="s">
        <v>196</v>
      </c>
      <c r="AW2" t="s">
        <v>217</v>
      </c>
      <c r="AY2" t="s">
        <v>223</v>
      </c>
      <c r="BA2" t="s">
        <v>231</v>
      </c>
      <c r="BC2" t="s">
        <v>185</v>
      </c>
      <c r="BE2" s="11" t="s">
        <v>286</v>
      </c>
    </row>
    <row r="3" spans="1:58">
      <c r="A3" t="s">
        <v>21</v>
      </c>
      <c r="C3" t="s">
        <v>68</v>
      </c>
      <c r="E3" t="s">
        <v>89</v>
      </c>
      <c r="G3" t="s">
        <v>123</v>
      </c>
      <c r="I3" t="s">
        <v>145</v>
      </c>
      <c r="K3" t="s">
        <v>241</v>
      </c>
      <c r="M3" t="s">
        <v>264</v>
      </c>
      <c r="O3" t="s">
        <v>22</v>
      </c>
      <c r="Q3" t="s">
        <v>18</v>
      </c>
      <c r="S3" t="s">
        <v>19</v>
      </c>
      <c r="U3" t="s">
        <v>20</v>
      </c>
      <c r="W3" t="s">
        <v>15</v>
      </c>
      <c r="Y3" t="s">
        <v>24</v>
      </c>
      <c r="AA3" t="s">
        <v>106</v>
      </c>
      <c r="AC3">
        <v>2026</v>
      </c>
      <c r="AE3" t="s">
        <v>109</v>
      </c>
      <c r="AG3" s="10">
        <v>2</v>
      </c>
      <c r="AI3" s="10">
        <v>2</v>
      </c>
      <c r="AK3" t="s">
        <v>172</v>
      </c>
      <c r="AM3" t="s">
        <v>181</v>
      </c>
      <c r="AO3" t="s">
        <v>202</v>
      </c>
      <c r="AQ3" t="s">
        <v>209</v>
      </c>
      <c r="AS3" t="s">
        <v>191</v>
      </c>
      <c r="AU3" t="s">
        <v>197</v>
      </c>
      <c r="AW3" t="s">
        <v>218</v>
      </c>
      <c r="AY3" t="s">
        <v>224</v>
      </c>
      <c r="BA3" t="s">
        <v>232</v>
      </c>
      <c r="BC3" t="s">
        <v>186</v>
      </c>
      <c r="BE3" s="11" t="s">
        <v>287</v>
      </c>
    </row>
    <row r="4" spans="1:58">
      <c r="A4" t="s">
        <v>26</v>
      </c>
      <c r="C4" t="s">
        <v>69</v>
      </c>
      <c r="E4" t="s">
        <v>90</v>
      </c>
      <c r="G4" t="s">
        <v>124</v>
      </c>
      <c r="I4" t="s">
        <v>146</v>
      </c>
      <c r="K4" t="s">
        <v>242</v>
      </c>
      <c r="M4" t="s">
        <v>265</v>
      </c>
      <c r="O4" t="s">
        <v>27</v>
      </c>
      <c r="S4" t="s">
        <v>23</v>
      </c>
      <c r="W4" t="s">
        <v>86</v>
      </c>
      <c r="Y4" t="s">
        <v>16</v>
      </c>
      <c r="AA4" t="s">
        <v>107</v>
      </c>
      <c r="AC4">
        <v>2027</v>
      </c>
      <c r="AE4" t="s">
        <v>110</v>
      </c>
      <c r="AG4" s="10">
        <v>3</v>
      </c>
      <c r="AI4" s="10">
        <v>3</v>
      </c>
      <c r="AK4" t="s">
        <v>173</v>
      </c>
      <c r="AM4" t="s">
        <v>182</v>
      </c>
      <c r="AO4" t="s">
        <v>203</v>
      </c>
      <c r="AQ4" t="s">
        <v>210</v>
      </c>
      <c r="AS4" t="s">
        <v>192</v>
      </c>
      <c r="AU4" t="s">
        <v>198</v>
      </c>
      <c r="AW4" t="s">
        <v>219</v>
      </c>
      <c r="AY4" t="s">
        <v>225</v>
      </c>
      <c r="BA4" t="s">
        <v>233</v>
      </c>
      <c r="BC4" t="s">
        <v>187</v>
      </c>
      <c r="BE4" s="11" t="s">
        <v>288</v>
      </c>
    </row>
    <row r="5" spans="1:58">
      <c r="A5" t="s">
        <v>52</v>
      </c>
      <c r="C5" t="s">
        <v>70</v>
      </c>
      <c r="E5" t="s">
        <v>91</v>
      </c>
      <c r="G5" t="s">
        <v>125</v>
      </c>
      <c r="I5" t="s">
        <v>147</v>
      </c>
      <c r="K5" t="s">
        <v>243</v>
      </c>
      <c r="M5" t="s">
        <v>266</v>
      </c>
      <c r="O5" t="s">
        <v>30</v>
      </c>
      <c r="S5" t="s">
        <v>25</v>
      </c>
      <c r="W5" t="s">
        <v>87</v>
      </c>
      <c r="AC5">
        <v>2028</v>
      </c>
      <c r="AE5" t="s">
        <v>111</v>
      </c>
      <c r="AG5" s="10">
        <v>4</v>
      </c>
      <c r="AI5" s="10">
        <v>4</v>
      </c>
      <c r="AK5" t="s">
        <v>51</v>
      </c>
      <c r="AM5" t="s">
        <v>183</v>
      </c>
      <c r="AO5" t="s">
        <v>204</v>
      </c>
      <c r="AQ5" t="s">
        <v>211</v>
      </c>
      <c r="AS5" t="s">
        <v>193</v>
      </c>
      <c r="AU5" t="s">
        <v>199</v>
      </c>
      <c r="AW5" t="s">
        <v>220</v>
      </c>
      <c r="AY5" t="s">
        <v>226</v>
      </c>
      <c r="BA5" t="s">
        <v>106</v>
      </c>
      <c r="BC5" t="s">
        <v>188</v>
      </c>
      <c r="BE5" s="11" t="s">
        <v>289</v>
      </c>
    </row>
    <row r="6" spans="1:58">
      <c r="A6" t="s">
        <v>53</v>
      </c>
      <c r="C6" t="s">
        <v>71</v>
      </c>
      <c r="E6" t="s">
        <v>92</v>
      </c>
      <c r="G6" t="s">
        <v>126</v>
      </c>
      <c r="I6" t="s">
        <v>148</v>
      </c>
      <c r="K6" t="s">
        <v>244</v>
      </c>
      <c r="M6" t="s">
        <v>267</v>
      </c>
      <c r="O6" t="s">
        <v>32</v>
      </c>
      <c r="S6" t="s">
        <v>28</v>
      </c>
      <c r="AC6">
        <v>2029</v>
      </c>
      <c r="AE6" t="s">
        <v>112</v>
      </c>
      <c r="AG6" s="10">
        <v>5</v>
      </c>
      <c r="AI6" s="10">
        <v>5</v>
      </c>
      <c r="AK6" t="s">
        <v>174</v>
      </c>
      <c r="AM6" t="s">
        <v>184</v>
      </c>
      <c r="AO6" t="s">
        <v>205</v>
      </c>
      <c r="AQ6" t="s">
        <v>212</v>
      </c>
      <c r="AS6" t="s">
        <v>194</v>
      </c>
      <c r="AW6" t="s">
        <v>221</v>
      </c>
      <c r="AY6" t="s">
        <v>227</v>
      </c>
      <c r="BE6" s="11" t="s">
        <v>290</v>
      </c>
    </row>
    <row r="7" spans="1:58">
      <c r="A7" t="s">
        <v>54</v>
      </c>
      <c r="C7" t="s">
        <v>72</v>
      </c>
      <c r="E7" t="s">
        <v>93</v>
      </c>
      <c r="G7" t="s">
        <v>127</v>
      </c>
      <c r="I7" t="s">
        <v>149</v>
      </c>
      <c r="K7" t="s">
        <v>245</v>
      </c>
      <c r="M7" t="s">
        <v>268</v>
      </c>
      <c r="O7" t="s">
        <v>34</v>
      </c>
      <c r="S7" t="s">
        <v>29</v>
      </c>
      <c r="AC7">
        <v>2030</v>
      </c>
      <c r="AE7" t="s">
        <v>113</v>
      </c>
      <c r="AK7" t="s">
        <v>175</v>
      </c>
      <c r="AO7" t="s">
        <v>206</v>
      </c>
      <c r="AQ7" t="s">
        <v>213</v>
      </c>
      <c r="AW7" t="s">
        <v>222</v>
      </c>
      <c r="AY7" t="s">
        <v>228</v>
      </c>
      <c r="BE7" s="11" t="s">
        <v>291</v>
      </c>
    </row>
    <row r="8" spans="1:58">
      <c r="A8" t="s">
        <v>55</v>
      </c>
      <c r="C8" t="s">
        <v>73</v>
      </c>
      <c r="E8" t="s">
        <v>94</v>
      </c>
      <c r="G8" t="s">
        <v>128</v>
      </c>
      <c r="I8" t="s">
        <v>150</v>
      </c>
      <c r="K8" t="s">
        <v>246</v>
      </c>
      <c r="M8" t="s">
        <v>269</v>
      </c>
      <c r="O8" t="s">
        <v>37</v>
      </c>
      <c r="S8" t="s">
        <v>31</v>
      </c>
      <c r="AE8" t="s">
        <v>114</v>
      </c>
      <c r="AK8" t="s">
        <v>176</v>
      </c>
      <c r="AO8" t="s">
        <v>207</v>
      </c>
      <c r="AQ8" t="s">
        <v>214</v>
      </c>
      <c r="BE8" s="11" t="s">
        <v>292</v>
      </c>
    </row>
    <row r="9" spans="1:58">
      <c r="A9" t="s">
        <v>56</v>
      </c>
      <c r="C9" t="s">
        <v>74</v>
      </c>
      <c r="E9" t="s">
        <v>95</v>
      </c>
      <c r="G9" t="s">
        <v>129</v>
      </c>
      <c r="I9" t="s">
        <v>151</v>
      </c>
      <c r="K9" t="s">
        <v>247</v>
      </c>
      <c r="M9" t="s">
        <v>270</v>
      </c>
      <c r="O9" t="s">
        <v>39</v>
      </c>
      <c r="S9" t="s">
        <v>33</v>
      </c>
      <c r="AE9" t="s">
        <v>115</v>
      </c>
      <c r="AK9" t="s">
        <v>177</v>
      </c>
      <c r="AQ9" t="s">
        <v>215</v>
      </c>
      <c r="BE9" s="11" t="s">
        <v>293</v>
      </c>
    </row>
    <row r="10" spans="1:58">
      <c r="A10" t="s">
        <v>57</v>
      </c>
      <c r="C10" t="s">
        <v>75</v>
      </c>
      <c r="E10" t="s">
        <v>96</v>
      </c>
      <c r="G10" t="s">
        <v>130</v>
      </c>
      <c r="I10" t="s">
        <v>152</v>
      </c>
      <c r="K10" t="s">
        <v>248</v>
      </c>
      <c r="M10" t="s">
        <v>271</v>
      </c>
      <c r="O10" t="s">
        <v>41</v>
      </c>
      <c r="S10" t="s">
        <v>35</v>
      </c>
      <c r="AE10" t="s">
        <v>116</v>
      </c>
      <c r="AK10" t="s">
        <v>178</v>
      </c>
      <c r="BE10" s="11" t="s">
        <v>294</v>
      </c>
    </row>
    <row r="11" spans="1:58">
      <c r="A11" t="s">
        <v>58</v>
      </c>
      <c r="C11" t="s">
        <v>76</v>
      </c>
      <c r="E11" t="s">
        <v>97</v>
      </c>
      <c r="G11" t="s">
        <v>131</v>
      </c>
      <c r="I11" t="s">
        <v>153</v>
      </c>
      <c r="K11" t="s">
        <v>249</v>
      </c>
      <c r="M11" t="s">
        <v>272</v>
      </c>
      <c r="S11" t="s">
        <v>38</v>
      </c>
      <c r="AE11" t="s">
        <v>117</v>
      </c>
      <c r="BE11" s="11" t="s">
        <v>295</v>
      </c>
    </row>
    <row r="12" spans="1:58">
      <c r="A12" t="s">
        <v>59</v>
      </c>
      <c r="C12" t="s">
        <v>77</v>
      </c>
      <c r="E12" t="s">
        <v>98</v>
      </c>
      <c r="G12" t="s">
        <v>132</v>
      </c>
      <c r="I12" t="s">
        <v>154</v>
      </c>
      <c r="K12" t="s">
        <v>250</v>
      </c>
      <c r="M12" t="s">
        <v>273</v>
      </c>
      <c r="S12" t="s">
        <v>40</v>
      </c>
      <c r="AE12" t="s">
        <v>118</v>
      </c>
      <c r="BE12" s="11" t="s">
        <v>296</v>
      </c>
    </row>
    <row r="13" spans="1:58">
      <c r="A13" t="s">
        <v>60</v>
      </c>
      <c r="C13" t="s">
        <v>78</v>
      </c>
      <c r="E13" t="s">
        <v>99</v>
      </c>
      <c r="G13" t="s">
        <v>133</v>
      </c>
      <c r="I13" t="s">
        <v>155</v>
      </c>
      <c r="K13" t="s">
        <v>251</v>
      </c>
      <c r="M13" t="s">
        <v>274</v>
      </c>
      <c r="S13" t="s">
        <v>42</v>
      </c>
      <c r="AE13" t="s">
        <v>119</v>
      </c>
      <c r="BE13" s="11" t="s">
        <v>297</v>
      </c>
    </row>
    <row r="14" spans="1:58">
      <c r="A14" t="s">
        <v>61</v>
      </c>
      <c r="C14" t="s">
        <v>79</v>
      </c>
      <c r="E14" t="s">
        <v>100</v>
      </c>
      <c r="I14" t="s">
        <v>156</v>
      </c>
      <c r="K14" t="s">
        <v>252</v>
      </c>
      <c r="M14" t="s">
        <v>275</v>
      </c>
      <c r="S14" t="s">
        <v>43</v>
      </c>
      <c r="BE14" s="11" t="s">
        <v>300</v>
      </c>
    </row>
    <row r="15" spans="1:58">
      <c r="A15" t="s">
        <v>62</v>
      </c>
      <c r="C15" t="s">
        <v>80</v>
      </c>
      <c r="E15" t="s">
        <v>101</v>
      </c>
      <c r="I15" t="s">
        <v>157</v>
      </c>
      <c r="K15" t="s">
        <v>253</v>
      </c>
      <c r="M15" t="s">
        <v>276</v>
      </c>
      <c r="S15" t="s">
        <v>44</v>
      </c>
      <c r="BE15" s="11" t="s">
        <v>298</v>
      </c>
    </row>
    <row r="16" spans="1:58">
      <c r="A16" t="s">
        <v>63</v>
      </c>
      <c r="C16" t="s">
        <v>81</v>
      </c>
      <c r="E16" t="s">
        <v>102</v>
      </c>
      <c r="I16" t="s">
        <v>158</v>
      </c>
      <c r="K16" t="s">
        <v>254</v>
      </c>
      <c r="M16" t="s">
        <v>277</v>
      </c>
      <c r="S16" t="s">
        <v>45</v>
      </c>
      <c r="BE16" s="11" t="s">
        <v>299</v>
      </c>
    </row>
    <row r="17" spans="1:19">
      <c r="A17" t="s">
        <v>64</v>
      </c>
      <c r="C17" t="s">
        <v>82</v>
      </c>
      <c r="E17" t="s">
        <v>103</v>
      </c>
      <c r="I17" t="s">
        <v>159</v>
      </c>
      <c r="K17" t="s">
        <v>255</v>
      </c>
      <c r="M17" t="s">
        <v>278</v>
      </c>
      <c r="S17" t="s">
        <v>46</v>
      </c>
    </row>
    <row r="18" spans="1:19">
      <c r="A18" t="s">
        <v>65</v>
      </c>
      <c r="C18" t="s">
        <v>83</v>
      </c>
      <c r="E18" t="s">
        <v>104</v>
      </c>
      <c r="I18" t="s">
        <v>160</v>
      </c>
      <c r="K18" t="s">
        <v>256</v>
      </c>
      <c r="M18" t="s">
        <v>279</v>
      </c>
      <c r="S18" t="s">
        <v>47</v>
      </c>
    </row>
    <row r="19" spans="1:19">
      <c r="A19" t="s">
        <v>66</v>
      </c>
      <c r="C19" t="s">
        <v>84</v>
      </c>
      <c r="E19" t="s">
        <v>105</v>
      </c>
      <c r="I19" t="s">
        <v>161</v>
      </c>
      <c r="K19" t="s">
        <v>257</v>
      </c>
      <c r="M19" t="s">
        <v>280</v>
      </c>
      <c r="S19" t="s">
        <v>48</v>
      </c>
    </row>
    <row r="20" spans="1:19">
      <c r="I20" t="s">
        <v>162</v>
      </c>
      <c r="K20" t="s">
        <v>258</v>
      </c>
      <c r="M20" t="s">
        <v>281</v>
      </c>
    </row>
    <row r="21" spans="1:19">
      <c r="I21" t="s">
        <v>163</v>
      </c>
      <c r="K21" t="s">
        <v>259</v>
      </c>
      <c r="M21" t="s">
        <v>282</v>
      </c>
    </row>
  </sheetData>
  <phoneticPr fontId="3" type="noConversion"/>
  <pageMargins left="0.75" right="0.75" top="1" bottom="1" header="0.5" footer="0.5"/>
  <tableParts count="2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A142-B859-4FD5-B699-76D5948AD141}">
  <dimension ref="A2:F72"/>
  <sheetViews>
    <sheetView workbookViewId="0">
      <selection activeCell="H21" sqref="H21"/>
    </sheetView>
  </sheetViews>
  <sheetFormatPr defaultRowHeight="15"/>
  <cols>
    <col min="1" max="1" width="5.7109375" customWidth="1"/>
    <col min="2" max="2" width="15.42578125" bestFit="1" customWidth="1"/>
    <col min="3" max="3" width="14.85546875" bestFit="1" customWidth="1"/>
    <col min="4" max="5" width="10.28515625" bestFit="1" customWidth="1"/>
    <col min="6" max="6" width="28.140625" bestFit="1" customWidth="1"/>
  </cols>
  <sheetData>
    <row r="2" spans="1:6" ht="30">
      <c r="B2" s="15" t="s">
        <v>301</v>
      </c>
      <c r="C2" s="15" t="s">
        <v>301</v>
      </c>
      <c r="D2" s="15" t="s">
        <v>301</v>
      </c>
      <c r="E2" s="15" t="s">
        <v>301</v>
      </c>
      <c r="F2" s="18" t="s">
        <v>305</v>
      </c>
    </row>
    <row r="4" spans="1:6">
      <c r="A4" t="s">
        <v>120</v>
      </c>
      <c r="B4" t="s">
        <v>0</v>
      </c>
      <c r="C4" t="s">
        <v>1</v>
      </c>
      <c r="D4" t="s">
        <v>50</v>
      </c>
      <c r="E4" t="s">
        <v>49</v>
      </c>
      <c r="F4" t="s">
        <v>134</v>
      </c>
    </row>
    <row r="5" spans="1:6">
      <c r="A5">
        <v>1</v>
      </c>
      <c r="B5" t="s">
        <v>10</v>
      </c>
      <c r="C5" t="s">
        <v>67</v>
      </c>
      <c r="D5" t="s">
        <v>108</v>
      </c>
      <c r="E5">
        <v>2025</v>
      </c>
      <c r="F5" s="13">
        <v>350000</v>
      </c>
    </row>
    <row r="6" spans="1:6">
      <c r="A6">
        <v>2</v>
      </c>
      <c r="B6" t="s">
        <v>21</v>
      </c>
      <c r="C6" t="s">
        <v>68</v>
      </c>
      <c r="D6" t="s">
        <v>108</v>
      </c>
      <c r="E6">
        <v>2025</v>
      </c>
      <c r="F6" s="13">
        <v>600000</v>
      </c>
    </row>
    <row r="7" spans="1:6">
      <c r="A7">
        <v>3</v>
      </c>
      <c r="B7" t="s">
        <v>26</v>
      </c>
      <c r="C7" t="s">
        <v>69</v>
      </c>
      <c r="D7" t="s">
        <v>108</v>
      </c>
      <c r="E7">
        <v>2025</v>
      </c>
      <c r="F7" s="13">
        <v>210000</v>
      </c>
    </row>
    <row r="8" spans="1:6">
      <c r="A8">
        <v>4</v>
      </c>
      <c r="B8" t="s">
        <v>52</v>
      </c>
      <c r="C8" t="s">
        <v>70</v>
      </c>
      <c r="D8" t="s">
        <v>108</v>
      </c>
      <c r="E8">
        <v>2025</v>
      </c>
      <c r="F8" s="13">
        <v>340000</v>
      </c>
    </row>
    <row r="9" spans="1:6">
      <c r="A9">
        <v>5</v>
      </c>
      <c r="B9" t="s">
        <v>53</v>
      </c>
      <c r="C9" t="s">
        <v>71</v>
      </c>
      <c r="D9" t="s">
        <v>108</v>
      </c>
      <c r="E9">
        <v>2025</v>
      </c>
      <c r="F9" s="13">
        <v>150000</v>
      </c>
    </row>
    <row r="10" spans="1:6">
      <c r="A10">
        <v>6</v>
      </c>
      <c r="B10" t="s">
        <v>10</v>
      </c>
      <c r="C10" t="s">
        <v>67</v>
      </c>
      <c r="D10" t="s">
        <v>109</v>
      </c>
      <c r="E10">
        <v>2025</v>
      </c>
      <c r="F10" s="13">
        <v>350000</v>
      </c>
    </row>
    <row r="11" spans="1:6">
      <c r="A11">
        <v>7</v>
      </c>
      <c r="B11" t="s">
        <v>21</v>
      </c>
      <c r="C11" t="s">
        <v>68</v>
      </c>
      <c r="D11" t="s">
        <v>109</v>
      </c>
      <c r="E11">
        <v>2025</v>
      </c>
      <c r="F11" s="13">
        <v>600000</v>
      </c>
    </row>
    <row r="12" spans="1:6">
      <c r="A12">
        <v>8</v>
      </c>
      <c r="B12" t="s">
        <v>26</v>
      </c>
      <c r="C12" t="s">
        <v>69</v>
      </c>
      <c r="D12" t="s">
        <v>109</v>
      </c>
      <c r="E12">
        <v>2025</v>
      </c>
      <c r="F12" s="13">
        <v>210000</v>
      </c>
    </row>
    <row r="13" spans="1:6">
      <c r="A13">
        <v>9</v>
      </c>
      <c r="B13" t="s">
        <v>52</v>
      </c>
      <c r="C13" t="s">
        <v>70</v>
      </c>
      <c r="D13" t="s">
        <v>109</v>
      </c>
      <c r="E13">
        <v>2025</v>
      </c>
      <c r="F13" s="13">
        <v>340000</v>
      </c>
    </row>
    <row r="14" spans="1:6">
      <c r="A14">
        <v>10</v>
      </c>
      <c r="B14" t="s">
        <v>53</v>
      </c>
      <c r="C14" t="s">
        <v>71</v>
      </c>
      <c r="D14" t="s">
        <v>109</v>
      </c>
      <c r="E14">
        <v>2025</v>
      </c>
      <c r="F14" s="13">
        <v>150000</v>
      </c>
    </row>
    <row r="15" spans="1:6">
      <c r="A15">
        <v>11</v>
      </c>
      <c r="B15" t="s">
        <v>10</v>
      </c>
      <c r="C15" t="s">
        <v>67</v>
      </c>
      <c r="D15" t="s">
        <v>110</v>
      </c>
      <c r="E15">
        <v>2025</v>
      </c>
      <c r="F15" s="13">
        <v>350000</v>
      </c>
    </row>
    <row r="16" spans="1:6">
      <c r="A16">
        <v>12</v>
      </c>
      <c r="B16" t="s">
        <v>21</v>
      </c>
      <c r="C16" t="s">
        <v>68</v>
      </c>
      <c r="D16" t="s">
        <v>110</v>
      </c>
      <c r="E16">
        <v>2025</v>
      </c>
      <c r="F16" s="13">
        <v>600000</v>
      </c>
    </row>
    <row r="17" spans="1:6">
      <c r="A17">
        <v>13</v>
      </c>
      <c r="B17" t="s">
        <v>26</v>
      </c>
      <c r="C17" t="s">
        <v>69</v>
      </c>
      <c r="D17" t="s">
        <v>110</v>
      </c>
      <c r="E17">
        <v>2025</v>
      </c>
      <c r="F17" s="13">
        <v>210000</v>
      </c>
    </row>
    <row r="18" spans="1:6">
      <c r="A18">
        <v>14</v>
      </c>
      <c r="B18" t="s">
        <v>52</v>
      </c>
      <c r="C18" t="s">
        <v>70</v>
      </c>
      <c r="D18" t="s">
        <v>110</v>
      </c>
      <c r="E18">
        <v>2025</v>
      </c>
      <c r="F18" s="13">
        <v>340000</v>
      </c>
    </row>
    <row r="19" spans="1:6">
      <c r="A19">
        <v>15</v>
      </c>
      <c r="B19" t="s">
        <v>53</v>
      </c>
      <c r="C19" t="s">
        <v>71</v>
      </c>
      <c r="D19" t="s">
        <v>110</v>
      </c>
      <c r="E19">
        <v>2025</v>
      </c>
      <c r="F19" s="13">
        <v>150000</v>
      </c>
    </row>
    <row r="20" spans="1:6">
      <c r="A20">
        <v>16</v>
      </c>
      <c r="B20" t="s">
        <v>10</v>
      </c>
      <c r="C20" t="s">
        <v>67</v>
      </c>
      <c r="D20" t="s">
        <v>111</v>
      </c>
      <c r="E20">
        <v>2025</v>
      </c>
      <c r="F20" s="13">
        <v>350000</v>
      </c>
    </row>
    <row r="21" spans="1:6">
      <c r="A21">
        <v>17</v>
      </c>
      <c r="B21" t="s">
        <v>21</v>
      </c>
      <c r="C21" t="s">
        <v>68</v>
      </c>
      <c r="D21" t="s">
        <v>111</v>
      </c>
      <c r="E21">
        <v>2025</v>
      </c>
      <c r="F21" s="13">
        <v>600000</v>
      </c>
    </row>
    <row r="22" spans="1:6">
      <c r="A22">
        <v>18</v>
      </c>
      <c r="B22" t="s">
        <v>26</v>
      </c>
      <c r="C22" t="s">
        <v>69</v>
      </c>
      <c r="D22" t="s">
        <v>111</v>
      </c>
      <c r="E22">
        <v>2025</v>
      </c>
      <c r="F22" s="13">
        <v>210000</v>
      </c>
    </row>
    <row r="23" spans="1:6">
      <c r="A23">
        <v>19</v>
      </c>
      <c r="B23" t="s">
        <v>52</v>
      </c>
      <c r="C23" t="s">
        <v>70</v>
      </c>
      <c r="D23" t="s">
        <v>111</v>
      </c>
      <c r="E23">
        <v>2025</v>
      </c>
      <c r="F23" s="13">
        <v>340000</v>
      </c>
    </row>
    <row r="24" spans="1:6">
      <c r="A24">
        <v>20</v>
      </c>
      <c r="B24" t="s">
        <v>53</v>
      </c>
      <c r="C24" t="s">
        <v>71</v>
      </c>
      <c r="D24" t="s">
        <v>111</v>
      </c>
      <c r="E24">
        <v>2025</v>
      </c>
      <c r="F24" s="13">
        <v>150000</v>
      </c>
    </row>
    <row r="25" spans="1:6">
      <c r="A25">
        <v>21</v>
      </c>
      <c r="B25" t="s">
        <v>10</v>
      </c>
      <c r="C25" t="s">
        <v>67</v>
      </c>
      <c r="D25" t="s">
        <v>112</v>
      </c>
      <c r="E25">
        <v>2025</v>
      </c>
      <c r="F25" s="13">
        <v>350000</v>
      </c>
    </row>
    <row r="26" spans="1:6">
      <c r="A26">
        <v>22</v>
      </c>
      <c r="B26" t="s">
        <v>21</v>
      </c>
      <c r="C26" t="s">
        <v>68</v>
      </c>
      <c r="D26" t="s">
        <v>112</v>
      </c>
      <c r="E26">
        <v>2025</v>
      </c>
      <c r="F26" s="13">
        <v>600000</v>
      </c>
    </row>
    <row r="27" spans="1:6">
      <c r="A27">
        <v>23</v>
      </c>
      <c r="B27" t="s">
        <v>26</v>
      </c>
      <c r="C27" t="s">
        <v>69</v>
      </c>
      <c r="D27" t="s">
        <v>112</v>
      </c>
      <c r="E27">
        <v>2025</v>
      </c>
      <c r="F27" s="13">
        <v>210000</v>
      </c>
    </row>
    <row r="28" spans="1:6">
      <c r="A28">
        <v>24</v>
      </c>
      <c r="B28" t="s">
        <v>52</v>
      </c>
      <c r="C28" t="s">
        <v>70</v>
      </c>
      <c r="D28" t="s">
        <v>112</v>
      </c>
      <c r="E28">
        <v>2025</v>
      </c>
      <c r="F28" s="13">
        <v>340000</v>
      </c>
    </row>
    <row r="29" spans="1:6">
      <c r="A29">
        <v>25</v>
      </c>
      <c r="B29" t="s">
        <v>53</v>
      </c>
      <c r="C29" t="s">
        <v>71</v>
      </c>
      <c r="D29" t="s">
        <v>112</v>
      </c>
      <c r="E29">
        <v>2025</v>
      </c>
      <c r="F29" s="13">
        <v>150000</v>
      </c>
    </row>
    <row r="30" spans="1:6">
      <c r="A30">
        <v>26</v>
      </c>
      <c r="B30" t="s">
        <v>10</v>
      </c>
      <c r="C30" t="s">
        <v>67</v>
      </c>
      <c r="D30" t="s">
        <v>113</v>
      </c>
      <c r="E30">
        <v>2025</v>
      </c>
      <c r="F30" s="13">
        <v>350000</v>
      </c>
    </row>
    <row r="31" spans="1:6">
      <c r="A31">
        <v>27</v>
      </c>
      <c r="B31" t="s">
        <v>21</v>
      </c>
      <c r="C31" t="s">
        <v>68</v>
      </c>
      <c r="D31" t="s">
        <v>113</v>
      </c>
      <c r="E31">
        <v>2025</v>
      </c>
      <c r="F31" s="13">
        <v>600000</v>
      </c>
    </row>
    <row r="32" spans="1:6">
      <c r="A32">
        <v>28</v>
      </c>
      <c r="B32" t="s">
        <v>26</v>
      </c>
      <c r="C32" t="s">
        <v>69</v>
      </c>
      <c r="D32" t="s">
        <v>113</v>
      </c>
      <c r="E32">
        <v>2025</v>
      </c>
      <c r="F32" s="13">
        <v>210000</v>
      </c>
    </row>
    <row r="33" spans="1:6">
      <c r="A33">
        <v>29</v>
      </c>
      <c r="B33" t="s">
        <v>52</v>
      </c>
      <c r="C33" t="s">
        <v>70</v>
      </c>
      <c r="D33" t="s">
        <v>113</v>
      </c>
      <c r="E33">
        <v>2025</v>
      </c>
      <c r="F33" s="13">
        <v>340000</v>
      </c>
    </row>
    <row r="34" spans="1:6">
      <c r="A34">
        <v>30</v>
      </c>
      <c r="B34" t="s">
        <v>53</v>
      </c>
      <c r="C34" t="s">
        <v>71</v>
      </c>
      <c r="D34" t="s">
        <v>113</v>
      </c>
      <c r="E34">
        <v>2025</v>
      </c>
      <c r="F34" s="13">
        <v>150000</v>
      </c>
    </row>
    <row r="35" spans="1:6">
      <c r="A35">
        <v>31</v>
      </c>
      <c r="B35" t="s">
        <v>10</v>
      </c>
      <c r="C35" t="s">
        <v>67</v>
      </c>
      <c r="D35" t="s">
        <v>114</v>
      </c>
      <c r="E35">
        <v>2025</v>
      </c>
      <c r="F35" s="13">
        <v>350000</v>
      </c>
    </row>
    <row r="36" spans="1:6">
      <c r="A36">
        <v>32</v>
      </c>
      <c r="B36" t="s">
        <v>21</v>
      </c>
      <c r="C36" t="s">
        <v>68</v>
      </c>
      <c r="D36" t="s">
        <v>114</v>
      </c>
      <c r="E36">
        <v>2025</v>
      </c>
      <c r="F36" s="13">
        <v>600000</v>
      </c>
    </row>
    <row r="37" spans="1:6">
      <c r="A37">
        <v>33</v>
      </c>
      <c r="B37" t="s">
        <v>26</v>
      </c>
      <c r="C37" t="s">
        <v>69</v>
      </c>
      <c r="D37" t="s">
        <v>114</v>
      </c>
      <c r="E37">
        <v>2025</v>
      </c>
      <c r="F37" s="13">
        <v>210000</v>
      </c>
    </row>
    <row r="38" spans="1:6">
      <c r="A38">
        <v>34</v>
      </c>
      <c r="B38" t="s">
        <v>52</v>
      </c>
      <c r="C38" t="s">
        <v>70</v>
      </c>
      <c r="D38" t="s">
        <v>114</v>
      </c>
      <c r="E38">
        <v>2025</v>
      </c>
      <c r="F38" s="13">
        <v>340000</v>
      </c>
    </row>
    <row r="39" spans="1:6">
      <c r="A39">
        <v>35</v>
      </c>
      <c r="B39" t="s">
        <v>53</v>
      </c>
      <c r="C39" t="s">
        <v>71</v>
      </c>
      <c r="D39" t="s">
        <v>114</v>
      </c>
      <c r="E39">
        <v>2025</v>
      </c>
      <c r="F39" s="13">
        <v>150000</v>
      </c>
    </row>
    <row r="40" spans="1:6">
      <c r="A40">
        <v>36</v>
      </c>
      <c r="B40" t="s">
        <v>10</v>
      </c>
      <c r="C40" t="s">
        <v>67</v>
      </c>
      <c r="D40" t="s">
        <v>115</v>
      </c>
      <c r="E40">
        <v>2025</v>
      </c>
      <c r="F40" s="13">
        <v>350000</v>
      </c>
    </row>
    <row r="41" spans="1:6">
      <c r="A41">
        <v>37</v>
      </c>
      <c r="B41" t="s">
        <v>21</v>
      </c>
      <c r="C41" t="s">
        <v>68</v>
      </c>
      <c r="D41" t="s">
        <v>115</v>
      </c>
      <c r="E41">
        <v>2025</v>
      </c>
      <c r="F41" s="13">
        <v>600000</v>
      </c>
    </row>
    <row r="42" spans="1:6">
      <c r="A42">
        <v>38</v>
      </c>
      <c r="B42" t="s">
        <v>26</v>
      </c>
      <c r="C42" t="s">
        <v>69</v>
      </c>
      <c r="D42" t="s">
        <v>115</v>
      </c>
      <c r="E42">
        <v>2025</v>
      </c>
      <c r="F42" s="13">
        <v>210000</v>
      </c>
    </row>
    <row r="43" spans="1:6">
      <c r="A43">
        <v>39</v>
      </c>
      <c r="B43" t="s">
        <v>52</v>
      </c>
      <c r="C43" t="s">
        <v>70</v>
      </c>
      <c r="D43" t="s">
        <v>115</v>
      </c>
      <c r="E43">
        <v>2025</v>
      </c>
      <c r="F43" s="13">
        <v>340000</v>
      </c>
    </row>
    <row r="44" spans="1:6">
      <c r="A44">
        <v>40</v>
      </c>
      <c r="B44" t="s">
        <v>53</v>
      </c>
      <c r="C44" t="s">
        <v>71</v>
      </c>
      <c r="D44" t="s">
        <v>115</v>
      </c>
      <c r="E44">
        <v>2025</v>
      </c>
      <c r="F44" s="13">
        <v>150000</v>
      </c>
    </row>
    <row r="45" spans="1:6">
      <c r="A45">
        <v>41</v>
      </c>
      <c r="B45" t="s">
        <v>10</v>
      </c>
      <c r="C45" t="s">
        <v>67</v>
      </c>
      <c r="D45" t="s">
        <v>115</v>
      </c>
      <c r="E45">
        <v>2025</v>
      </c>
      <c r="F45" s="13">
        <v>350000</v>
      </c>
    </row>
    <row r="46" spans="1:6">
      <c r="A46">
        <v>42</v>
      </c>
      <c r="B46" t="s">
        <v>21</v>
      </c>
      <c r="C46" t="s">
        <v>68</v>
      </c>
      <c r="D46" t="s">
        <v>115</v>
      </c>
      <c r="E46">
        <v>2025</v>
      </c>
      <c r="F46" s="13">
        <v>600000</v>
      </c>
    </row>
    <row r="47" spans="1:6">
      <c r="A47">
        <v>43</v>
      </c>
      <c r="B47" t="s">
        <v>26</v>
      </c>
      <c r="C47" t="s">
        <v>73</v>
      </c>
      <c r="D47" t="s">
        <v>115</v>
      </c>
      <c r="E47">
        <v>2025</v>
      </c>
      <c r="F47" s="13">
        <v>210000</v>
      </c>
    </row>
    <row r="48" spans="1:6">
      <c r="A48">
        <v>44</v>
      </c>
      <c r="B48" t="s">
        <v>52</v>
      </c>
      <c r="C48" t="s">
        <v>75</v>
      </c>
      <c r="D48" t="s">
        <v>115</v>
      </c>
      <c r="E48">
        <v>2025</v>
      </c>
      <c r="F48" s="13">
        <v>340000</v>
      </c>
    </row>
    <row r="49" spans="1:6">
      <c r="A49">
        <v>45</v>
      </c>
      <c r="B49" t="s">
        <v>60</v>
      </c>
      <c r="C49" t="s">
        <v>77</v>
      </c>
      <c r="D49" t="s">
        <v>115</v>
      </c>
      <c r="E49">
        <v>2025</v>
      </c>
      <c r="F49" s="13">
        <v>150000</v>
      </c>
    </row>
    <row r="50" spans="1:6">
      <c r="A50">
        <v>46</v>
      </c>
      <c r="B50" t="s">
        <v>10</v>
      </c>
      <c r="C50" t="s">
        <v>78</v>
      </c>
      <c r="D50" t="s">
        <v>115</v>
      </c>
      <c r="E50">
        <v>2025</v>
      </c>
      <c r="F50" s="13">
        <v>350000</v>
      </c>
    </row>
    <row r="51" spans="1:6">
      <c r="A51">
        <v>47</v>
      </c>
      <c r="B51" t="s">
        <v>21</v>
      </c>
      <c r="C51" t="s">
        <v>81</v>
      </c>
      <c r="D51" t="s">
        <v>115</v>
      </c>
      <c r="E51">
        <v>2025</v>
      </c>
      <c r="F51" s="13">
        <v>600000</v>
      </c>
    </row>
    <row r="52" spans="1:6">
      <c r="A52">
        <v>48</v>
      </c>
      <c r="B52" t="s">
        <v>26</v>
      </c>
      <c r="C52" t="s">
        <v>79</v>
      </c>
      <c r="D52" t="s">
        <v>115</v>
      </c>
      <c r="E52">
        <v>2025</v>
      </c>
      <c r="F52" s="13">
        <v>210000</v>
      </c>
    </row>
    <row r="53" spans="1:6">
      <c r="A53">
        <v>49</v>
      </c>
      <c r="B53" t="s">
        <v>52</v>
      </c>
      <c r="C53" t="s">
        <v>78</v>
      </c>
      <c r="D53" t="s">
        <v>115</v>
      </c>
      <c r="E53">
        <v>2025</v>
      </c>
      <c r="F53" s="13">
        <v>340000</v>
      </c>
    </row>
    <row r="54" spans="1:6">
      <c r="A54">
        <v>50</v>
      </c>
      <c r="B54" t="s">
        <v>56</v>
      </c>
      <c r="C54" t="s">
        <v>78</v>
      </c>
      <c r="D54" t="s">
        <v>115</v>
      </c>
      <c r="E54">
        <v>2025</v>
      </c>
      <c r="F54" s="13">
        <v>150000</v>
      </c>
    </row>
    <row r="55" spans="1:6">
      <c r="A55">
        <v>51</v>
      </c>
      <c r="B55" t="s">
        <v>10</v>
      </c>
      <c r="C55" t="s">
        <v>67</v>
      </c>
      <c r="D55" t="s">
        <v>115</v>
      </c>
      <c r="E55">
        <v>2025</v>
      </c>
      <c r="F55" s="13">
        <v>350000</v>
      </c>
    </row>
    <row r="56" spans="1:6">
      <c r="A56">
        <v>52</v>
      </c>
      <c r="B56" t="s">
        <v>21</v>
      </c>
      <c r="C56" t="s">
        <v>68</v>
      </c>
      <c r="D56" t="s">
        <v>115</v>
      </c>
      <c r="E56">
        <v>2025</v>
      </c>
      <c r="F56" s="13">
        <v>600000</v>
      </c>
    </row>
    <row r="57" spans="1:6">
      <c r="A57">
        <v>53</v>
      </c>
      <c r="B57" t="s">
        <v>55</v>
      </c>
      <c r="C57" t="s">
        <v>73</v>
      </c>
      <c r="D57" t="s">
        <v>115</v>
      </c>
      <c r="E57">
        <v>2025</v>
      </c>
      <c r="F57" s="13">
        <v>210000</v>
      </c>
    </row>
    <row r="58" spans="1:6">
      <c r="A58">
        <v>54</v>
      </c>
      <c r="B58" t="s">
        <v>52</v>
      </c>
      <c r="C58" t="s">
        <v>70</v>
      </c>
      <c r="D58" t="s">
        <v>115</v>
      </c>
      <c r="E58">
        <v>2025</v>
      </c>
      <c r="F58" s="13">
        <v>340000</v>
      </c>
    </row>
    <row r="59" spans="1:6">
      <c r="A59">
        <v>55</v>
      </c>
      <c r="B59" t="s">
        <v>53</v>
      </c>
      <c r="C59" t="s">
        <v>71</v>
      </c>
      <c r="D59" t="s">
        <v>115</v>
      </c>
      <c r="E59">
        <v>2025</v>
      </c>
      <c r="F59" s="13">
        <v>150000</v>
      </c>
    </row>
    <row r="60" spans="1:6">
      <c r="A60">
        <v>56</v>
      </c>
      <c r="B60" t="s">
        <v>56</v>
      </c>
      <c r="C60" t="s">
        <v>74</v>
      </c>
      <c r="D60" t="s">
        <v>116</v>
      </c>
      <c r="E60">
        <v>2025</v>
      </c>
      <c r="F60" s="13">
        <v>325000</v>
      </c>
    </row>
    <row r="61" spans="1:6">
      <c r="A61">
        <v>57</v>
      </c>
      <c r="B61" t="s">
        <v>58</v>
      </c>
      <c r="C61" t="s">
        <v>76</v>
      </c>
      <c r="D61" t="s">
        <v>116</v>
      </c>
      <c r="E61">
        <v>2025</v>
      </c>
      <c r="F61" s="13">
        <v>97000</v>
      </c>
    </row>
    <row r="62" spans="1:6">
      <c r="A62">
        <v>58</v>
      </c>
      <c r="B62" t="s">
        <v>60</v>
      </c>
      <c r="C62" t="s">
        <v>78</v>
      </c>
      <c r="D62" t="s">
        <v>116</v>
      </c>
      <c r="E62">
        <v>2025</v>
      </c>
      <c r="F62" s="13">
        <v>18000</v>
      </c>
    </row>
    <row r="63" spans="1:6">
      <c r="A63">
        <v>59</v>
      </c>
      <c r="B63" t="s">
        <v>61</v>
      </c>
      <c r="C63" t="s">
        <v>79</v>
      </c>
      <c r="D63" t="s">
        <v>116</v>
      </c>
      <c r="E63">
        <v>2025</v>
      </c>
      <c r="F63" s="13">
        <v>95000</v>
      </c>
    </row>
    <row r="64" spans="1:6">
      <c r="A64">
        <v>60</v>
      </c>
      <c r="B64" t="s">
        <v>63</v>
      </c>
      <c r="C64" t="s">
        <v>81</v>
      </c>
      <c r="D64" t="s">
        <v>117</v>
      </c>
      <c r="E64">
        <v>2025</v>
      </c>
      <c r="F64" s="13">
        <v>120000</v>
      </c>
    </row>
    <row r="65" spans="1:6">
      <c r="A65">
        <v>61</v>
      </c>
      <c r="B65" t="s">
        <v>65</v>
      </c>
      <c r="C65" t="s">
        <v>83</v>
      </c>
      <c r="D65" t="s">
        <v>117</v>
      </c>
      <c r="E65">
        <v>2025</v>
      </c>
      <c r="F65" s="13">
        <v>35000</v>
      </c>
    </row>
    <row r="66" spans="1:6">
      <c r="A66">
        <v>62</v>
      </c>
      <c r="B66" t="s">
        <v>60</v>
      </c>
      <c r="C66" t="s">
        <v>78</v>
      </c>
      <c r="D66" t="s">
        <v>117</v>
      </c>
      <c r="E66">
        <v>2025</v>
      </c>
      <c r="F66" s="13">
        <v>45000</v>
      </c>
    </row>
    <row r="67" spans="1:6">
      <c r="A67">
        <v>63</v>
      </c>
      <c r="B67" t="s">
        <v>10</v>
      </c>
      <c r="C67" t="s">
        <v>67</v>
      </c>
      <c r="D67" t="s">
        <v>118</v>
      </c>
      <c r="E67">
        <v>2025</v>
      </c>
      <c r="F67" s="13">
        <v>55000</v>
      </c>
    </row>
    <row r="68" spans="1:6">
      <c r="A68">
        <v>64</v>
      </c>
      <c r="B68" t="s">
        <v>52</v>
      </c>
      <c r="C68" t="s">
        <v>70</v>
      </c>
      <c r="D68" t="s">
        <v>118</v>
      </c>
      <c r="E68">
        <v>2025</v>
      </c>
      <c r="F68" s="13">
        <v>100000</v>
      </c>
    </row>
    <row r="69" spans="1:6">
      <c r="A69">
        <v>65</v>
      </c>
      <c r="B69" t="s">
        <v>55</v>
      </c>
      <c r="C69" t="s">
        <v>73</v>
      </c>
      <c r="D69" t="s">
        <v>118</v>
      </c>
      <c r="E69">
        <v>2025</v>
      </c>
      <c r="F69" s="13">
        <v>97000</v>
      </c>
    </row>
    <row r="70" spans="1:6">
      <c r="A70">
        <v>66</v>
      </c>
      <c r="B70" t="s">
        <v>56</v>
      </c>
      <c r="C70" t="s">
        <v>74</v>
      </c>
      <c r="D70" t="s">
        <v>119</v>
      </c>
      <c r="E70">
        <v>2025</v>
      </c>
      <c r="F70" s="13">
        <v>38000</v>
      </c>
    </row>
    <row r="71" spans="1:6">
      <c r="A71">
        <v>67</v>
      </c>
      <c r="B71" t="s">
        <v>57</v>
      </c>
      <c r="C71" t="s">
        <v>75</v>
      </c>
      <c r="D71" t="s">
        <v>119</v>
      </c>
      <c r="E71">
        <v>2025</v>
      </c>
      <c r="F71" s="13">
        <v>39000</v>
      </c>
    </row>
    <row r="72" spans="1:6">
      <c r="A72">
        <v>68</v>
      </c>
      <c r="B72" t="s">
        <v>65</v>
      </c>
      <c r="C72" t="s">
        <v>84</v>
      </c>
      <c r="D72" t="s">
        <v>119</v>
      </c>
      <c r="E72">
        <v>2025</v>
      </c>
      <c r="F72" s="13">
        <v>45000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31FF702-BEF7-436C-B39D-8513ED8A2B72}">
          <x14:formula1>
            <xm:f>DATACALL!$A:$A</xm:f>
          </x14:formula1>
          <xm:sqref>B5:B72</xm:sqref>
        </x14:dataValidation>
        <x14:dataValidation type="list" allowBlank="1" showInputMessage="1" showErrorMessage="1" xr:uid="{E7216539-661A-4247-90EE-A735F8EB0ECE}">
          <x14:formula1>
            <xm:f>DATACALL!$C:$C</xm:f>
          </x14:formula1>
          <xm:sqref>C5:C72</xm:sqref>
        </x14:dataValidation>
        <x14:dataValidation type="list" allowBlank="1" showInputMessage="1" showErrorMessage="1" xr:uid="{EF08EFD9-7E47-47BC-A1CB-49F8E571420C}">
          <x14:formula1>
            <xm:f>DATACALL!$AE:$AE</xm:f>
          </x14:formula1>
          <xm:sqref>D5:D72</xm:sqref>
        </x14:dataValidation>
        <x14:dataValidation type="list" allowBlank="1" showInputMessage="1" showErrorMessage="1" xr:uid="{369E682B-1E91-43AC-BBF3-13F31CF7A0B9}">
          <x14:formula1>
            <xm:f>DATACALL!$AC:$AC</xm:f>
          </x14:formula1>
          <xm:sqref>E5:E72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4A6B-1FE3-4012-B23D-4548505676F4}">
  <sheetPr>
    <tabColor rgb="FF00B050"/>
  </sheetPr>
  <dimension ref="A2:L19"/>
  <sheetViews>
    <sheetView workbookViewId="0">
      <selection activeCell="F2" sqref="F2"/>
    </sheetView>
  </sheetViews>
  <sheetFormatPr defaultRowHeight="15"/>
  <cols>
    <col min="2" max="2" width="15.42578125" bestFit="1" customWidth="1"/>
    <col min="3" max="3" width="14.85546875" bestFit="1" customWidth="1"/>
    <col min="4" max="5" width="10.28515625" bestFit="1" customWidth="1"/>
    <col min="6" max="6" width="19.7109375" bestFit="1" customWidth="1"/>
    <col min="7" max="8" width="16.7109375" customWidth="1"/>
    <col min="9" max="9" width="19.28515625" customWidth="1"/>
    <col min="10" max="10" width="18" bestFit="1" customWidth="1"/>
    <col min="11" max="11" width="18.7109375" customWidth="1"/>
    <col min="12" max="12" width="12.7109375" customWidth="1"/>
  </cols>
  <sheetData>
    <row r="2" spans="1:12" s="10" customFormat="1" ht="30">
      <c r="B2" s="17" t="s">
        <v>301</v>
      </c>
      <c r="C2" s="17" t="s">
        <v>301</v>
      </c>
      <c r="D2" s="17" t="s">
        <v>301</v>
      </c>
      <c r="E2" s="17" t="s">
        <v>301</v>
      </c>
      <c r="F2" s="18" t="s">
        <v>304</v>
      </c>
      <c r="G2" s="18" t="s">
        <v>303</v>
      </c>
      <c r="H2" s="18" t="s">
        <v>303</v>
      </c>
      <c r="I2" s="18" t="s">
        <v>303</v>
      </c>
      <c r="J2" s="19" t="s">
        <v>302</v>
      </c>
      <c r="K2" s="17" t="s">
        <v>301</v>
      </c>
      <c r="L2" s="17" t="s">
        <v>301</v>
      </c>
    </row>
    <row r="4" spans="1:12">
      <c r="A4" t="s">
        <v>120</v>
      </c>
      <c r="B4" t="s">
        <v>0</v>
      </c>
      <c r="C4" t="s">
        <v>1</v>
      </c>
      <c r="D4" t="s">
        <v>50</v>
      </c>
      <c r="E4" t="s">
        <v>49</v>
      </c>
      <c r="F4" t="s">
        <v>135</v>
      </c>
      <c r="G4" t="s">
        <v>136</v>
      </c>
      <c r="H4" t="s">
        <v>138</v>
      </c>
      <c r="I4" t="s">
        <v>139</v>
      </c>
      <c r="J4" t="s">
        <v>140</v>
      </c>
      <c r="K4" t="s">
        <v>7</v>
      </c>
      <c r="L4" t="s">
        <v>137</v>
      </c>
    </row>
    <row r="5" spans="1:12">
      <c r="A5">
        <v>1</v>
      </c>
      <c r="B5" t="s">
        <v>10</v>
      </c>
      <c r="C5" t="s">
        <v>67</v>
      </c>
      <c r="D5" t="s">
        <v>108</v>
      </c>
      <c r="E5">
        <v>2025</v>
      </c>
      <c r="F5" s="2">
        <v>45667</v>
      </c>
      <c r="G5" s="3">
        <v>0.6</v>
      </c>
      <c r="H5" s="4">
        <v>10</v>
      </c>
      <c r="I5" s="4">
        <v>3</v>
      </c>
      <c r="J5" s="3">
        <f>_AudReg[[#This Row],[Closed Items]]/_AudReg[[#This Row],[Failed Items]]</f>
        <v>0.3</v>
      </c>
      <c r="K5" t="s">
        <v>89</v>
      </c>
      <c r="L5" t="s">
        <v>122</v>
      </c>
    </row>
    <row r="6" spans="1:12">
      <c r="A6">
        <v>2</v>
      </c>
      <c r="B6" t="s">
        <v>21</v>
      </c>
      <c r="C6" t="s">
        <v>68</v>
      </c>
      <c r="D6" t="s">
        <v>108</v>
      </c>
      <c r="E6">
        <v>2025</v>
      </c>
      <c r="F6" s="2">
        <v>45672</v>
      </c>
      <c r="G6" s="3">
        <v>0.75</v>
      </c>
      <c r="H6" s="4">
        <v>15</v>
      </c>
      <c r="I6" s="4">
        <v>2</v>
      </c>
      <c r="J6" s="3">
        <f>_AudReg[[#This Row],[Closed Items]]/_AudReg[[#This Row],[Failed Items]]</f>
        <v>0.13333333333333333</v>
      </c>
      <c r="K6" t="s">
        <v>90</v>
      </c>
      <c r="L6" t="s">
        <v>125</v>
      </c>
    </row>
    <row r="7" spans="1:12">
      <c r="A7">
        <v>3</v>
      </c>
      <c r="B7" t="s">
        <v>26</v>
      </c>
      <c r="C7" t="s">
        <v>69</v>
      </c>
      <c r="D7" t="s">
        <v>108</v>
      </c>
      <c r="E7">
        <v>2025</v>
      </c>
      <c r="F7" s="2">
        <v>45677</v>
      </c>
      <c r="G7" s="3">
        <v>0.85</v>
      </c>
      <c r="H7" s="4">
        <v>20</v>
      </c>
      <c r="I7" s="4">
        <v>15</v>
      </c>
      <c r="J7" s="3">
        <f>_AudReg[[#This Row],[Closed Items]]/_AudReg[[#This Row],[Failed Items]]</f>
        <v>0.75</v>
      </c>
      <c r="K7" t="s">
        <v>88</v>
      </c>
      <c r="L7" t="s">
        <v>128</v>
      </c>
    </row>
    <row r="8" spans="1:12">
      <c r="A8">
        <v>4</v>
      </c>
      <c r="B8" t="s">
        <v>52</v>
      </c>
      <c r="C8" t="s">
        <v>70</v>
      </c>
      <c r="D8" t="s">
        <v>108</v>
      </c>
      <c r="E8">
        <v>2025</v>
      </c>
      <c r="F8" s="2">
        <v>45687</v>
      </c>
      <c r="G8" s="3">
        <v>0.9</v>
      </c>
      <c r="H8" s="4">
        <v>25</v>
      </c>
      <c r="I8" s="4">
        <v>17</v>
      </c>
      <c r="J8" s="3">
        <f>_AudReg[[#This Row],[Closed Items]]/_AudReg[[#This Row],[Failed Items]]</f>
        <v>0.68</v>
      </c>
      <c r="K8" t="s">
        <v>92</v>
      </c>
      <c r="L8" t="s">
        <v>125</v>
      </c>
    </row>
    <row r="9" spans="1:12">
      <c r="A9">
        <v>5</v>
      </c>
      <c r="B9" t="s">
        <v>53</v>
      </c>
      <c r="C9" t="s">
        <v>71</v>
      </c>
      <c r="D9" t="s">
        <v>109</v>
      </c>
      <c r="E9">
        <v>2025</v>
      </c>
      <c r="F9" s="2">
        <v>45693</v>
      </c>
      <c r="G9" s="3">
        <v>0.95</v>
      </c>
      <c r="H9" s="4">
        <v>5</v>
      </c>
      <c r="I9" s="4">
        <v>4</v>
      </c>
      <c r="J9" s="3">
        <f>_AudReg[[#This Row],[Closed Items]]/_AudReg[[#This Row],[Failed Items]]</f>
        <v>0.8</v>
      </c>
      <c r="K9" t="s">
        <v>96</v>
      </c>
      <c r="L9" t="s">
        <v>124</v>
      </c>
    </row>
    <row r="10" spans="1:12">
      <c r="A10">
        <v>6</v>
      </c>
      <c r="B10" t="s">
        <v>61</v>
      </c>
      <c r="C10" t="s">
        <v>79</v>
      </c>
      <c r="D10" t="s">
        <v>109</v>
      </c>
      <c r="E10">
        <v>2025</v>
      </c>
      <c r="F10" s="2">
        <v>45698</v>
      </c>
      <c r="G10" s="3">
        <v>0.6</v>
      </c>
      <c r="H10" s="4">
        <v>10</v>
      </c>
      <c r="I10" s="4">
        <v>3</v>
      </c>
      <c r="J10" s="3">
        <f>_AudReg[[#This Row],[Closed Items]]/_AudReg[[#This Row],[Failed Items]]</f>
        <v>0.3</v>
      </c>
      <c r="K10" t="s">
        <v>89</v>
      </c>
      <c r="L10" t="s">
        <v>122</v>
      </c>
    </row>
    <row r="11" spans="1:12">
      <c r="A11">
        <v>7</v>
      </c>
      <c r="B11" t="s">
        <v>64</v>
      </c>
      <c r="C11" t="s">
        <v>82</v>
      </c>
      <c r="D11" t="s">
        <v>110</v>
      </c>
      <c r="E11">
        <v>2025</v>
      </c>
      <c r="F11" s="2">
        <v>45672</v>
      </c>
      <c r="G11" s="3">
        <v>0.75</v>
      </c>
      <c r="H11" s="4">
        <v>15</v>
      </c>
      <c r="I11" s="4">
        <v>2</v>
      </c>
      <c r="J11" s="3">
        <f>_AudReg[[#This Row],[Closed Items]]/_AudReg[[#This Row],[Failed Items]]</f>
        <v>0.13333333333333333</v>
      </c>
      <c r="K11" t="s">
        <v>90</v>
      </c>
      <c r="L11" t="s">
        <v>125</v>
      </c>
    </row>
    <row r="12" spans="1:12">
      <c r="A12">
        <v>8</v>
      </c>
      <c r="B12" t="s">
        <v>65</v>
      </c>
      <c r="C12" t="s">
        <v>83</v>
      </c>
      <c r="D12" t="s">
        <v>110</v>
      </c>
      <c r="E12">
        <v>2025</v>
      </c>
      <c r="F12" s="2">
        <v>45677</v>
      </c>
      <c r="G12" s="3">
        <v>0.85</v>
      </c>
      <c r="H12" s="4">
        <v>20</v>
      </c>
      <c r="I12" s="4">
        <v>15</v>
      </c>
      <c r="J12" s="3">
        <f>_AudReg[[#This Row],[Closed Items]]/_AudReg[[#This Row],[Failed Items]]</f>
        <v>0.75</v>
      </c>
      <c r="K12" t="s">
        <v>93</v>
      </c>
      <c r="L12" t="s">
        <v>128</v>
      </c>
    </row>
    <row r="13" spans="1:12">
      <c r="A13">
        <v>9</v>
      </c>
      <c r="B13" t="s">
        <v>57</v>
      </c>
      <c r="C13" t="s">
        <v>75</v>
      </c>
      <c r="D13" t="s">
        <v>111</v>
      </c>
      <c r="E13">
        <v>2025</v>
      </c>
      <c r="F13" s="2">
        <v>45687</v>
      </c>
      <c r="G13" s="3">
        <v>0.9</v>
      </c>
      <c r="H13" s="4">
        <v>25</v>
      </c>
      <c r="I13" s="4">
        <v>17</v>
      </c>
      <c r="J13" s="3">
        <f>_AudReg[[#This Row],[Closed Items]]/_AudReg[[#This Row],[Failed Items]]</f>
        <v>0.68</v>
      </c>
      <c r="K13" t="s">
        <v>92</v>
      </c>
      <c r="L13" t="s">
        <v>125</v>
      </c>
    </row>
    <row r="14" spans="1:12">
      <c r="A14">
        <v>10</v>
      </c>
      <c r="B14" t="s">
        <v>60</v>
      </c>
      <c r="C14" t="s">
        <v>78</v>
      </c>
      <c r="D14" t="s">
        <v>111</v>
      </c>
      <c r="E14">
        <v>2025</v>
      </c>
      <c r="F14" s="2">
        <v>45693</v>
      </c>
      <c r="G14" s="3">
        <v>0.95</v>
      </c>
      <c r="H14" s="4">
        <v>5</v>
      </c>
      <c r="I14" s="4">
        <v>4</v>
      </c>
      <c r="J14" s="3">
        <f>_AudReg[[#This Row],[Closed Items]]/_AudReg[[#This Row],[Failed Items]]</f>
        <v>0.8</v>
      </c>
      <c r="K14" t="s">
        <v>96</v>
      </c>
      <c r="L14" t="s">
        <v>124</v>
      </c>
    </row>
    <row r="15" spans="1:12">
      <c r="A15">
        <v>11</v>
      </c>
      <c r="B15" t="s">
        <v>59</v>
      </c>
      <c r="C15" t="s">
        <v>77</v>
      </c>
      <c r="D15" t="s">
        <v>112</v>
      </c>
      <c r="E15">
        <v>2025</v>
      </c>
      <c r="F15" s="2">
        <v>45667</v>
      </c>
      <c r="G15" s="3">
        <v>0.6</v>
      </c>
      <c r="H15" s="4">
        <v>29</v>
      </c>
      <c r="I15" s="4">
        <v>3</v>
      </c>
      <c r="J15" s="3">
        <f>_AudReg[[#This Row],[Closed Items]]/_AudReg[[#This Row],[Failed Items]]</f>
        <v>0.10344827586206896</v>
      </c>
      <c r="K15" t="s">
        <v>94</v>
      </c>
      <c r="L15" t="s">
        <v>122</v>
      </c>
    </row>
    <row r="16" spans="1:12">
      <c r="A16">
        <v>12</v>
      </c>
      <c r="B16" t="s">
        <v>55</v>
      </c>
      <c r="C16" t="s">
        <v>73</v>
      </c>
      <c r="D16" t="s">
        <v>112</v>
      </c>
      <c r="E16">
        <v>2025</v>
      </c>
      <c r="F16" s="2">
        <v>45672</v>
      </c>
      <c r="G16" s="3">
        <v>0.75</v>
      </c>
      <c r="H16" s="4">
        <v>17</v>
      </c>
      <c r="I16" s="4">
        <v>2</v>
      </c>
      <c r="J16" s="3">
        <f>_AudReg[[#This Row],[Closed Items]]/_AudReg[[#This Row],[Failed Items]]</f>
        <v>0.11764705882352941</v>
      </c>
      <c r="K16" t="s">
        <v>90</v>
      </c>
      <c r="L16" t="s">
        <v>125</v>
      </c>
    </row>
    <row r="17" spans="1:12">
      <c r="A17">
        <v>13</v>
      </c>
      <c r="B17" t="s">
        <v>56</v>
      </c>
      <c r="C17" t="s">
        <v>74</v>
      </c>
      <c r="D17" t="s">
        <v>113</v>
      </c>
      <c r="E17">
        <v>2025</v>
      </c>
      <c r="F17" s="2">
        <v>45677</v>
      </c>
      <c r="G17" s="3">
        <v>0.85</v>
      </c>
      <c r="H17" s="4">
        <v>35</v>
      </c>
      <c r="I17" s="4">
        <v>15</v>
      </c>
      <c r="J17" s="3">
        <f>_AudReg[[#This Row],[Closed Items]]/_AudReg[[#This Row],[Failed Items]]</f>
        <v>0.42857142857142855</v>
      </c>
      <c r="K17" t="s">
        <v>88</v>
      </c>
      <c r="L17" t="s">
        <v>128</v>
      </c>
    </row>
    <row r="18" spans="1:12">
      <c r="A18">
        <v>14</v>
      </c>
      <c r="B18" t="s">
        <v>57</v>
      </c>
      <c r="C18" t="s">
        <v>75</v>
      </c>
      <c r="D18" t="s">
        <v>113</v>
      </c>
      <c r="E18">
        <v>2025</v>
      </c>
      <c r="F18" s="2">
        <v>45687</v>
      </c>
      <c r="G18" s="3">
        <v>0.9</v>
      </c>
      <c r="H18" s="4">
        <v>32</v>
      </c>
      <c r="I18" s="4">
        <v>17</v>
      </c>
      <c r="J18" s="3">
        <f>_AudReg[[#This Row],[Closed Items]]/_AudReg[[#This Row],[Failed Items]]</f>
        <v>0.53125</v>
      </c>
      <c r="K18" t="s">
        <v>98</v>
      </c>
      <c r="L18" t="s">
        <v>125</v>
      </c>
    </row>
    <row r="19" spans="1:12">
      <c r="A19">
        <v>15</v>
      </c>
      <c r="B19" t="s">
        <v>61</v>
      </c>
      <c r="C19" t="s">
        <v>79</v>
      </c>
      <c r="D19" t="s">
        <v>113</v>
      </c>
      <c r="E19">
        <v>2025</v>
      </c>
      <c r="F19" s="2">
        <v>45693</v>
      </c>
      <c r="G19" s="3">
        <v>0.95</v>
      </c>
      <c r="H19" s="4">
        <v>21</v>
      </c>
      <c r="I19" s="4">
        <v>4</v>
      </c>
      <c r="J19" s="3">
        <f>_AudReg[[#This Row],[Closed Items]]/_AudReg[[#This Row],[Failed Items]]</f>
        <v>0.19047619047619047</v>
      </c>
      <c r="K19" t="s">
        <v>99</v>
      </c>
      <c r="L19" t="s">
        <v>124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65B0EC7-74F6-4153-A3E0-257AC1EFC77B}">
          <x14:formula1>
            <xm:f>DATACALL!$AC:$AC</xm:f>
          </x14:formula1>
          <xm:sqref>E5:E19</xm:sqref>
        </x14:dataValidation>
        <x14:dataValidation type="list" allowBlank="1" showInputMessage="1" showErrorMessage="1" xr:uid="{6216EEE4-C7F4-4518-94F6-CA441A5F72BB}">
          <x14:formula1>
            <xm:f>DATACALL!$AE:$AE</xm:f>
          </x14:formula1>
          <xm:sqref>D5:D19</xm:sqref>
        </x14:dataValidation>
        <x14:dataValidation type="list" allowBlank="1" showInputMessage="1" showErrorMessage="1" xr:uid="{6BE7FA2F-76C7-46D9-9353-4B46B566858F}">
          <x14:formula1>
            <xm:f>DATACALL!$C:$C</xm:f>
          </x14:formula1>
          <xm:sqref>C5:C19</xm:sqref>
        </x14:dataValidation>
        <x14:dataValidation type="list" allowBlank="1" showInputMessage="1" showErrorMessage="1" xr:uid="{00AB2840-89E4-4C8D-BCDA-47197302F562}">
          <x14:formula1>
            <xm:f>DATACALL!$A:$A</xm:f>
          </x14:formula1>
          <xm:sqref>B5:B19</xm:sqref>
        </x14:dataValidation>
        <x14:dataValidation type="list" allowBlank="1" showInputMessage="1" showErrorMessage="1" xr:uid="{7549EA13-14F1-4AB1-8D20-3BCC3D1B3597}">
          <x14:formula1>
            <xm:f>DATACALL!$E:$E</xm:f>
          </x14:formula1>
          <xm:sqref>K5:K19</xm:sqref>
        </x14:dataValidation>
        <x14:dataValidation type="list" allowBlank="1" showInputMessage="1" showErrorMessage="1" xr:uid="{AF6FE964-FFE8-4C23-9C02-C707B8744EC6}">
          <x14:formula1>
            <xm:f>DATACALL!$G:$G</xm:f>
          </x14:formula1>
          <xm:sqref>L5:L19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3F0D-C193-4724-A5D4-DBFB8F9B22D6}">
  <sheetPr>
    <tabColor rgb="FF00B050"/>
  </sheetPr>
  <dimension ref="A2:L43"/>
  <sheetViews>
    <sheetView workbookViewId="0">
      <selection activeCell="F2" sqref="F2"/>
    </sheetView>
  </sheetViews>
  <sheetFormatPr defaultRowHeight="15"/>
  <cols>
    <col min="1" max="1" width="5.85546875" style="5" bestFit="1" customWidth="1"/>
    <col min="2" max="2" width="15.42578125" style="5" bestFit="1" customWidth="1"/>
    <col min="3" max="3" width="14.85546875" style="5" bestFit="1" customWidth="1"/>
    <col min="4" max="5" width="10.28515625" style="5" bestFit="1" customWidth="1"/>
    <col min="6" max="6" width="19.7109375" style="5" bestFit="1" customWidth="1"/>
    <col min="7" max="7" width="16.28515625" style="5" bestFit="1" customWidth="1"/>
    <col min="8" max="8" width="20.28515625" style="5" customWidth="1"/>
    <col min="9" max="9" width="17.5703125" style="5" customWidth="1"/>
    <col min="10" max="10" width="18" style="5" bestFit="1" customWidth="1"/>
    <col min="11" max="11" width="15.5703125" style="5" bestFit="1" customWidth="1"/>
    <col min="12" max="12" width="10.28515625" style="5" bestFit="1" customWidth="1"/>
    <col min="13" max="13" width="13" style="5" bestFit="1" customWidth="1"/>
    <col min="14" max="16384" width="9.140625" style="5"/>
  </cols>
  <sheetData>
    <row r="2" spans="1:12" s="16" customFormat="1" ht="30">
      <c r="B2" s="17" t="s">
        <v>301</v>
      </c>
      <c r="C2" s="17" t="s">
        <v>301</v>
      </c>
      <c r="D2" s="17" t="s">
        <v>301</v>
      </c>
      <c r="E2" s="17" t="s">
        <v>301</v>
      </c>
      <c r="F2" s="18" t="s">
        <v>304</v>
      </c>
      <c r="G2" s="17" t="s">
        <v>301</v>
      </c>
      <c r="H2" s="18" t="s">
        <v>303</v>
      </c>
      <c r="I2" s="18" t="s">
        <v>303</v>
      </c>
      <c r="J2" s="19" t="s">
        <v>302</v>
      </c>
      <c r="K2" s="17" t="s">
        <v>301</v>
      </c>
      <c r="L2" s="17" t="s">
        <v>301</v>
      </c>
    </row>
    <row r="4" spans="1:12" ht="30">
      <c r="A4" s="5" t="s">
        <v>120</v>
      </c>
      <c r="B4" s="5" t="s">
        <v>0</v>
      </c>
      <c r="C4" s="5" t="s">
        <v>1</v>
      </c>
      <c r="D4" s="5" t="s">
        <v>50</v>
      </c>
      <c r="E4" s="5" t="s">
        <v>49</v>
      </c>
      <c r="F4" s="5" t="s">
        <v>141</v>
      </c>
      <c r="G4" s="5" t="s">
        <v>142</v>
      </c>
      <c r="H4" s="5" t="s">
        <v>164</v>
      </c>
      <c r="I4" s="5" t="s">
        <v>143</v>
      </c>
      <c r="J4" s="5" t="s">
        <v>167</v>
      </c>
      <c r="K4" s="5" t="s">
        <v>165</v>
      </c>
      <c r="L4" s="5" t="s">
        <v>166</v>
      </c>
    </row>
    <row r="5" spans="1:12">
      <c r="A5" s="5">
        <v>1</v>
      </c>
      <c r="B5" s="5" t="s">
        <v>10</v>
      </c>
      <c r="C5" s="5" t="s">
        <v>67</v>
      </c>
      <c r="D5" s="5" t="s">
        <v>108</v>
      </c>
      <c r="E5" s="5">
        <v>2025</v>
      </c>
      <c r="F5" s="6">
        <v>45667</v>
      </c>
      <c r="G5" s="7" t="s">
        <v>144</v>
      </c>
      <c r="H5" s="8">
        <v>1</v>
      </c>
      <c r="I5" s="9">
        <v>10</v>
      </c>
      <c r="J5" s="12">
        <f>_TrainingReg[[#This Row],[Number of Attendees]]*_TrainingReg[[#This Row],[Training Hour]]</f>
        <v>10</v>
      </c>
      <c r="K5" s="5" t="s">
        <v>11</v>
      </c>
      <c r="L5" s="5" t="s">
        <v>122</v>
      </c>
    </row>
    <row r="6" spans="1:12">
      <c r="A6" s="5">
        <v>2</v>
      </c>
      <c r="B6" s="5" t="s">
        <v>21</v>
      </c>
      <c r="C6" s="5" t="s">
        <v>68</v>
      </c>
      <c r="D6" s="5" t="s">
        <v>108</v>
      </c>
      <c r="E6" s="5">
        <v>2025</v>
      </c>
      <c r="F6" s="6">
        <v>45672</v>
      </c>
      <c r="G6" s="7" t="s">
        <v>145</v>
      </c>
      <c r="H6" s="8">
        <v>2</v>
      </c>
      <c r="I6" s="9">
        <v>15</v>
      </c>
      <c r="J6" s="12">
        <f>_TrainingReg[[#This Row],[Number of Attendees]]*_TrainingReg[[#This Row],[Training Hour]]</f>
        <v>30</v>
      </c>
      <c r="K6" s="5" t="s">
        <v>41</v>
      </c>
      <c r="L6" s="5" t="s">
        <v>123</v>
      </c>
    </row>
    <row r="7" spans="1:12">
      <c r="A7" s="5">
        <v>3</v>
      </c>
      <c r="B7" s="5" t="s">
        <v>26</v>
      </c>
      <c r="C7" s="5" t="s">
        <v>69</v>
      </c>
      <c r="D7" s="5" t="s">
        <v>108</v>
      </c>
      <c r="E7" s="5">
        <v>2025</v>
      </c>
      <c r="F7" s="6">
        <v>45677</v>
      </c>
      <c r="G7" s="7" t="s">
        <v>146</v>
      </c>
      <c r="H7" s="8">
        <v>1</v>
      </c>
      <c r="I7" s="9">
        <v>20</v>
      </c>
      <c r="J7" s="12">
        <f>_TrainingReg[[#This Row],[Number of Attendees]]*_TrainingReg[[#This Row],[Training Hour]]</f>
        <v>20</v>
      </c>
      <c r="K7" s="5" t="s">
        <v>39</v>
      </c>
      <c r="L7" s="5" t="s">
        <v>124</v>
      </c>
    </row>
    <row r="8" spans="1:12">
      <c r="A8" s="5">
        <v>4</v>
      </c>
      <c r="B8" s="5" t="s">
        <v>52</v>
      </c>
      <c r="C8" s="5" t="s">
        <v>70</v>
      </c>
      <c r="D8" s="5" t="s">
        <v>108</v>
      </c>
      <c r="E8" s="5">
        <v>2025</v>
      </c>
      <c r="F8" s="6">
        <v>45687</v>
      </c>
      <c r="G8" s="7" t="s">
        <v>147</v>
      </c>
      <c r="H8" s="8">
        <v>2</v>
      </c>
      <c r="I8" s="9">
        <v>25</v>
      </c>
      <c r="J8" s="12">
        <f>_TrainingReg[[#This Row],[Number of Attendees]]*_TrainingReg[[#This Row],[Training Hour]]</f>
        <v>50</v>
      </c>
      <c r="K8" s="5" t="s">
        <v>37</v>
      </c>
      <c r="L8" s="5" t="s">
        <v>130</v>
      </c>
    </row>
    <row r="9" spans="1:12">
      <c r="A9" s="5">
        <v>5</v>
      </c>
      <c r="B9" s="5" t="s">
        <v>53</v>
      </c>
      <c r="C9" s="5" t="s">
        <v>71</v>
      </c>
      <c r="D9" s="5" t="s">
        <v>109</v>
      </c>
      <c r="E9" s="5">
        <v>2025</v>
      </c>
      <c r="F9" s="6">
        <v>45693</v>
      </c>
      <c r="G9" s="7" t="s">
        <v>148</v>
      </c>
      <c r="H9" s="8">
        <v>1</v>
      </c>
      <c r="I9" s="9">
        <v>5</v>
      </c>
      <c r="J9" s="12">
        <f>_TrainingReg[[#This Row],[Number of Attendees]]*_TrainingReg[[#This Row],[Training Hour]]</f>
        <v>5</v>
      </c>
      <c r="K9" s="5" t="s">
        <v>30</v>
      </c>
      <c r="L9" s="5" t="s">
        <v>132</v>
      </c>
    </row>
    <row r="10" spans="1:12">
      <c r="A10" s="5">
        <v>6</v>
      </c>
      <c r="B10" s="5" t="s">
        <v>55</v>
      </c>
      <c r="C10" s="5" t="s">
        <v>73</v>
      </c>
      <c r="D10" s="5" t="s">
        <v>109</v>
      </c>
      <c r="E10" s="5">
        <v>2025</v>
      </c>
      <c r="F10" s="6">
        <v>45698</v>
      </c>
      <c r="G10" s="7" t="s">
        <v>149</v>
      </c>
      <c r="H10" s="8">
        <v>2</v>
      </c>
      <c r="I10" s="9">
        <v>10</v>
      </c>
      <c r="J10" s="12">
        <f>_TrainingReg[[#This Row],[Number of Attendees]]*_TrainingReg[[#This Row],[Training Hour]]</f>
        <v>20</v>
      </c>
      <c r="K10" s="5" t="s">
        <v>41</v>
      </c>
      <c r="L10" s="5" t="s">
        <v>130</v>
      </c>
    </row>
    <row r="11" spans="1:12">
      <c r="A11" s="5">
        <v>7</v>
      </c>
      <c r="B11" s="5" t="s">
        <v>59</v>
      </c>
      <c r="C11" s="5" t="s">
        <v>77</v>
      </c>
      <c r="D11" s="5" t="s">
        <v>109</v>
      </c>
      <c r="E11" s="5">
        <v>2025</v>
      </c>
      <c r="F11" s="6">
        <v>45703</v>
      </c>
      <c r="G11" s="7" t="s">
        <v>150</v>
      </c>
      <c r="H11" s="8">
        <v>4</v>
      </c>
      <c r="I11" s="9">
        <v>25</v>
      </c>
      <c r="J11" s="12">
        <f>_TrainingReg[[#This Row],[Number of Attendees]]*_TrainingReg[[#This Row],[Training Hour]]</f>
        <v>100</v>
      </c>
      <c r="K11" s="5" t="s">
        <v>41</v>
      </c>
      <c r="L11" s="5" t="s">
        <v>133</v>
      </c>
    </row>
    <row r="12" spans="1:12">
      <c r="A12" s="5">
        <v>8</v>
      </c>
      <c r="B12" s="5" t="s">
        <v>57</v>
      </c>
      <c r="C12" s="5" t="s">
        <v>75</v>
      </c>
      <c r="D12" s="5" t="s">
        <v>109</v>
      </c>
      <c r="E12" s="5">
        <v>2025</v>
      </c>
      <c r="F12" s="6">
        <v>45708</v>
      </c>
      <c r="G12" s="7" t="s">
        <v>151</v>
      </c>
      <c r="H12" s="8">
        <v>2</v>
      </c>
      <c r="I12" s="9">
        <v>12</v>
      </c>
      <c r="J12" s="12">
        <f>_TrainingReg[[#This Row],[Number of Attendees]]*_TrainingReg[[#This Row],[Training Hour]]</f>
        <v>24</v>
      </c>
      <c r="K12" s="5" t="s">
        <v>41</v>
      </c>
      <c r="L12" s="5" t="s">
        <v>122</v>
      </c>
    </row>
    <row r="13" spans="1:12">
      <c r="A13" s="5">
        <v>9</v>
      </c>
      <c r="B13" s="5" t="s">
        <v>54</v>
      </c>
      <c r="C13" s="5" t="s">
        <v>72</v>
      </c>
      <c r="D13" s="5" t="s">
        <v>110</v>
      </c>
      <c r="E13" s="5">
        <v>2025</v>
      </c>
      <c r="F13" s="6">
        <v>45721</v>
      </c>
      <c r="G13" s="7" t="s">
        <v>147</v>
      </c>
      <c r="H13" s="8">
        <v>3</v>
      </c>
      <c r="I13" s="9">
        <v>50</v>
      </c>
      <c r="J13" s="12">
        <f>_TrainingReg[[#This Row],[Number of Attendees]]*_TrainingReg[[#This Row],[Training Hour]]</f>
        <v>150</v>
      </c>
      <c r="K13" s="5" t="s">
        <v>41</v>
      </c>
      <c r="L13" s="5" t="s">
        <v>128</v>
      </c>
    </row>
    <row r="14" spans="1:12">
      <c r="A14" s="5">
        <v>10</v>
      </c>
      <c r="B14" s="5" t="s">
        <v>60</v>
      </c>
      <c r="C14" s="5" t="s">
        <v>78</v>
      </c>
      <c r="D14" s="5" t="s">
        <v>110</v>
      </c>
      <c r="E14" s="5">
        <v>2025</v>
      </c>
      <c r="F14" s="6">
        <v>45726</v>
      </c>
      <c r="G14" s="7" t="s">
        <v>148</v>
      </c>
      <c r="H14" s="8">
        <v>1</v>
      </c>
      <c r="I14" s="9">
        <v>100</v>
      </c>
      <c r="J14" s="12">
        <f>_TrainingReg[[#This Row],[Number of Attendees]]*_TrainingReg[[#This Row],[Training Hour]]</f>
        <v>100</v>
      </c>
      <c r="K14" s="5" t="s">
        <v>41</v>
      </c>
      <c r="L14" s="5" t="s">
        <v>128</v>
      </c>
    </row>
    <row r="15" spans="1:12">
      <c r="A15" s="5">
        <v>11</v>
      </c>
      <c r="B15" s="5" t="s">
        <v>61</v>
      </c>
      <c r="C15" s="5" t="s">
        <v>79</v>
      </c>
      <c r="D15" s="5" t="s">
        <v>110</v>
      </c>
      <c r="E15" s="5">
        <v>2025</v>
      </c>
      <c r="F15" s="6">
        <v>45731</v>
      </c>
      <c r="G15" s="7" t="s">
        <v>145</v>
      </c>
      <c r="H15" s="8">
        <v>4</v>
      </c>
      <c r="I15" s="9">
        <v>30</v>
      </c>
      <c r="J15" s="12">
        <f>_TrainingReg[[#This Row],[Number of Attendees]]*_TrainingReg[[#This Row],[Training Hour]]</f>
        <v>120</v>
      </c>
      <c r="K15" s="5" t="s">
        <v>41</v>
      </c>
      <c r="L15" s="5" t="s">
        <v>127</v>
      </c>
    </row>
    <row r="16" spans="1:12">
      <c r="A16" s="5">
        <v>12</v>
      </c>
      <c r="B16" s="5" t="s">
        <v>65</v>
      </c>
      <c r="C16" s="5" t="s">
        <v>83</v>
      </c>
      <c r="D16" s="5" t="s">
        <v>110</v>
      </c>
      <c r="E16" s="5">
        <v>2025</v>
      </c>
      <c r="F16" s="6">
        <v>45736</v>
      </c>
      <c r="G16" s="7" t="s">
        <v>163</v>
      </c>
      <c r="H16" s="8">
        <v>6</v>
      </c>
      <c r="I16" s="9">
        <v>25</v>
      </c>
      <c r="J16" s="12">
        <f>_TrainingReg[[#This Row],[Number of Attendees]]*_TrainingReg[[#This Row],[Training Hour]]</f>
        <v>150</v>
      </c>
      <c r="K16" s="5" t="s">
        <v>22</v>
      </c>
      <c r="L16" s="5" t="s">
        <v>133</v>
      </c>
    </row>
    <row r="17" spans="1:12">
      <c r="A17" s="5">
        <v>13</v>
      </c>
      <c r="B17" s="5" t="s">
        <v>66</v>
      </c>
      <c r="C17" s="5" t="s">
        <v>84</v>
      </c>
      <c r="D17" s="5" t="s">
        <v>111</v>
      </c>
      <c r="E17" s="5">
        <v>2025</v>
      </c>
      <c r="F17" s="6">
        <v>45751</v>
      </c>
      <c r="G17" s="7" t="s">
        <v>153</v>
      </c>
      <c r="H17" s="8">
        <v>1</v>
      </c>
      <c r="I17" s="9">
        <v>15</v>
      </c>
      <c r="J17" s="12">
        <f>_TrainingReg[[#This Row],[Number of Attendees]]*_TrainingReg[[#This Row],[Training Hour]]</f>
        <v>15</v>
      </c>
      <c r="K17" s="5" t="s">
        <v>22</v>
      </c>
      <c r="L17" s="5" t="s">
        <v>132</v>
      </c>
    </row>
    <row r="18" spans="1:12">
      <c r="A18" s="5">
        <v>14</v>
      </c>
      <c r="B18" s="5" t="s">
        <v>10</v>
      </c>
      <c r="C18" s="5" t="s">
        <v>67</v>
      </c>
      <c r="D18" s="5" t="s">
        <v>111</v>
      </c>
      <c r="E18" s="5">
        <v>2025</v>
      </c>
      <c r="F18" s="6">
        <v>45761</v>
      </c>
      <c r="G18" s="7" t="s">
        <v>144</v>
      </c>
      <c r="H18" s="8">
        <v>1</v>
      </c>
      <c r="I18" s="9">
        <v>10</v>
      </c>
      <c r="J18" s="12">
        <f>_TrainingReg[[#This Row],[Number of Attendees]]*_TrainingReg[[#This Row],[Training Hour]]</f>
        <v>10</v>
      </c>
      <c r="K18" s="5" t="s">
        <v>11</v>
      </c>
      <c r="L18" s="5" t="s">
        <v>122</v>
      </c>
    </row>
    <row r="19" spans="1:12">
      <c r="A19" s="5">
        <v>15</v>
      </c>
      <c r="B19" s="5" t="s">
        <v>21</v>
      </c>
      <c r="C19" s="5" t="s">
        <v>82</v>
      </c>
      <c r="D19" s="5" t="s">
        <v>111</v>
      </c>
      <c r="E19" s="5">
        <v>2025</v>
      </c>
      <c r="F19" s="6">
        <v>45771</v>
      </c>
      <c r="G19" s="7" t="s">
        <v>145</v>
      </c>
      <c r="H19" s="8">
        <v>2</v>
      </c>
      <c r="I19" s="9">
        <v>15</v>
      </c>
      <c r="J19" s="12">
        <f>_TrainingReg[[#This Row],[Number of Attendees]]*_TrainingReg[[#This Row],[Training Hour]]</f>
        <v>30</v>
      </c>
      <c r="K19" s="5" t="s">
        <v>41</v>
      </c>
      <c r="L19" s="5" t="s">
        <v>123</v>
      </c>
    </row>
    <row r="20" spans="1:12">
      <c r="A20" s="5">
        <v>16</v>
      </c>
      <c r="B20" s="5" t="s">
        <v>26</v>
      </c>
      <c r="C20" s="5" t="s">
        <v>75</v>
      </c>
      <c r="D20" s="5" t="s">
        <v>111</v>
      </c>
      <c r="E20" s="5">
        <v>2025</v>
      </c>
      <c r="F20" s="6">
        <v>45772</v>
      </c>
      <c r="G20" s="7" t="s">
        <v>146</v>
      </c>
      <c r="H20" s="8">
        <v>1</v>
      </c>
      <c r="I20" s="9">
        <v>20</v>
      </c>
      <c r="J20" s="12">
        <f>_TrainingReg[[#This Row],[Number of Attendees]]*_TrainingReg[[#This Row],[Training Hour]]</f>
        <v>20</v>
      </c>
      <c r="K20" s="5" t="s">
        <v>39</v>
      </c>
      <c r="L20" s="5" t="s">
        <v>124</v>
      </c>
    </row>
    <row r="21" spans="1:12">
      <c r="A21" s="5">
        <v>17</v>
      </c>
      <c r="B21" s="5" t="s">
        <v>52</v>
      </c>
      <c r="C21" s="5" t="s">
        <v>70</v>
      </c>
      <c r="D21" s="5" t="s">
        <v>111</v>
      </c>
      <c r="E21" s="5">
        <v>2025</v>
      </c>
      <c r="F21" s="6">
        <v>45777</v>
      </c>
      <c r="G21" s="7" t="s">
        <v>147</v>
      </c>
      <c r="H21" s="8">
        <v>2</v>
      </c>
      <c r="I21" s="9">
        <v>25</v>
      </c>
      <c r="J21" s="12">
        <f>_TrainingReg[[#This Row],[Number of Attendees]]*_TrainingReg[[#This Row],[Training Hour]]</f>
        <v>50</v>
      </c>
      <c r="K21" s="5" t="s">
        <v>37</v>
      </c>
      <c r="L21" s="5" t="s">
        <v>130</v>
      </c>
    </row>
    <row r="22" spans="1:12">
      <c r="A22" s="5">
        <v>18</v>
      </c>
      <c r="B22" s="5" t="s">
        <v>53</v>
      </c>
      <c r="C22" s="5" t="s">
        <v>71</v>
      </c>
      <c r="D22" s="5" t="s">
        <v>112</v>
      </c>
      <c r="E22" s="5">
        <v>2025</v>
      </c>
      <c r="F22" s="6">
        <v>45782</v>
      </c>
      <c r="G22" s="7" t="s">
        <v>148</v>
      </c>
      <c r="H22" s="8">
        <v>1</v>
      </c>
      <c r="I22" s="9">
        <v>5</v>
      </c>
      <c r="J22" s="12">
        <f>_TrainingReg[[#This Row],[Number of Attendees]]*_TrainingReg[[#This Row],[Training Hour]]</f>
        <v>5</v>
      </c>
      <c r="K22" s="5" t="s">
        <v>30</v>
      </c>
      <c r="L22" s="5" t="s">
        <v>132</v>
      </c>
    </row>
    <row r="23" spans="1:12">
      <c r="A23" s="5">
        <v>19</v>
      </c>
      <c r="B23" s="5" t="s">
        <v>55</v>
      </c>
      <c r="C23" s="5" t="s">
        <v>74</v>
      </c>
      <c r="D23" s="5" t="s">
        <v>112</v>
      </c>
      <c r="E23" s="5">
        <v>2025</v>
      </c>
      <c r="F23" s="6">
        <v>45787</v>
      </c>
      <c r="G23" s="7" t="s">
        <v>149</v>
      </c>
      <c r="H23" s="8">
        <v>2</v>
      </c>
      <c r="I23" s="9">
        <v>10</v>
      </c>
      <c r="J23" s="12">
        <f>_TrainingReg[[#This Row],[Number of Attendees]]*_TrainingReg[[#This Row],[Training Hour]]</f>
        <v>20</v>
      </c>
      <c r="K23" s="5" t="s">
        <v>41</v>
      </c>
      <c r="L23" s="5" t="s">
        <v>130</v>
      </c>
    </row>
    <row r="24" spans="1:12">
      <c r="A24" s="5">
        <v>20</v>
      </c>
      <c r="B24" s="5" t="s">
        <v>59</v>
      </c>
      <c r="C24" s="5" t="s">
        <v>77</v>
      </c>
      <c r="D24" s="5" t="s">
        <v>112</v>
      </c>
      <c r="E24" s="5">
        <v>2025</v>
      </c>
      <c r="F24" s="6">
        <v>45792</v>
      </c>
      <c r="G24" s="7" t="s">
        <v>150</v>
      </c>
      <c r="H24" s="8">
        <v>4</v>
      </c>
      <c r="I24" s="9">
        <v>25</v>
      </c>
      <c r="J24" s="12">
        <f>_TrainingReg[[#This Row],[Number of Attendees]]*_TrainingReg[[#This Row],[Training Hour]]</f>
        <v>100</v>
      </c>
      <c r="K24" s="5" t="s">
        <v>41</v>
      </c>
      <c r="L24" s="5" t="s">
        <v>133</v>
      </c>
    </row>
    <row r="25" spans="1:12">
      <c r="A25" s="5">
        <v>21</v>
      </c>
      <c r="B25" s="5" t="s">
        <v>57</v>
      </c>
      <c r="C25" s="5" t="s">
        <v>75</v>
      </c>
      <c r="D25" s="5" t="s">
        <v>112</v>
      </c>
      <c r="E25" s="5">
        <v>2025</v>
      </c>
      <c r="F25" s="6">
        <v>45797</v>
      </c>
      <c r="G25" s="7" t="s">
        <v>151</v>
      </c>
      <c r="H25" s="8">
        <v>2</v>
      </c>
      <c r="I25" s="9">
        <v>12</v>
      </c>
      <c r="J25" s="12">
        <f>_TrainingReg[[#This Row],[Number of Attendees]]*_TrainingReg[[#This Row],[Training Hour]]</f>
        <v>24</v>
      </c>
      <c r="K25" s="5" t="s">
        <v>41</v>
      </c>
      <c r="L25" s="5" t="s">
        <v>122</v>
      </c>
    </row>
    <row r="26" spans="1:12">
      <c r="A26" s="5">
        <v>22</v>
      </c>
      <c r="B26" s="5" t="s">
        <v>54</v>
      </c>
      <c r="C26" s="5" t="s">
        <v>72</v>
      </c>
      <c r="D26" s="5" t="s">
        <v>113</v>
      </c>
      <c r="E26" s="5">
        <v>2025</v>
      </c>
      <c r="F26" s="6">
        <v>45813</v>
      </c>
      <c r="G26" s="7" t="s">
        <v>147</v>
      </c>
      <c r="H26" s="8">
        <v>3</v>
      </c>
      <c r="I26" s="9">
        <v>50</v>
      </c>
      <c r="J26" s="12">
        <f>_TrainingReg[[#This Row],[Number of Attendees]]*_TrainingReg[[#This Row],[Training Hour]]</f>
        <v>150</v>
      </c>
      <c r="K26" s="5" t="s">
        <v>41</v>
      </c>
      <c r="L26" s="5" t="s">
        <v>128</v>
      </c>
    </row>
    <row r="27" spans="1:12">
      <c r="A27" s="5">
        <v>23</v>
      </c>
      <c r="B27" s="5" t="s">
        <v>60</v>
      </c>
      <c r="C27" s="5" t="s">
        <v>78</v>
      </c>
      <c r="D27" s="5" t="s">
        <v>113</v>
      </c>
      <c r="E27" s="5">
        <v>2025</v>
      </c>
      <c r="F27" s="6">
        <v>45818</v>
      </c>
      <c r="G27" s="7" t="s">
        <v>148</v>
      </c>
      <c r="H27" s="8">
        <v>1</v>
      </c>
      <c r="I27" s="9">
        <v>100</v>
      </c>
      <c r="J27" s="12">
        <f>_TrainingReg[[#This Row],[Number of Attendees]]*_TrainingReg[[#This Row],[Training Hour]]</f>
        <v>100</v>
      </c>
      <c r="K27" s="5" t="s">
        <v>41</v>
      </c>
      <c r="L27" s="5" t="s">
        <v>128</v>
      </c>
    </row>
    <row r="28" spans="1:12">
      <c r="A28" s="5">
        <v>24</v>
      </c>
      <c r="B28" s="5" t="s">
        <v>61</v>
      </c>
      <c r="C28" s="5" t="s">
        <v>79</v>
      </c>
      <c r="D28" s="5" t="s">
        <v>113</v>
      </c>
      <c r="E28" s="5">
        <v>2025</v>
      </c>
      <c r="F28" s="6">
        <v>45823</v>
      </c>
      <c r="G28" s="7" t="s">
        <v>145</v>
      </c>
      <c r="H28" s="8">
        <v>4</v>
      </c>
      <c r="I28" s="9">
        <v>30</v>
      </c>
      <c r="J28" s="12">
        <f>_TrainingReg[[#This Row],[Number of Attendees]]*_TrainingReg[[#This Row],[Training Hour]]</f>
        <v>120</v>
      </c>
      <c r="K28" s="5" t="s">
        <v>41</v>
      </c>
      <c r="L28" s="5" t="s">
        <v>127</v>
      </c>
    </row>
    <row r="29" spans="1:12">
      <c r="A29" s="5">
        <v>25</v>
      </c>
      <c r="B29" s="5" t="s">
        <v>65</v>
      </c>
      <c r="C29" s="5" t="s">
        <v>83</v>
      </c>
      <c r="D29" s="5" t="s">
        <v>113</v>
      </c>
      <c r="E29" s="5">
        <v>2025</v>
      </c>
      <c r="F29" s="6">
        <v>45828</v>
      </c>
      <c r="G29" s="7" t="s">
        <v>163</v>
      </c>
      <c r="H29" s="8">
        <v>6</v>
      </c>
      <c r="I29" s="9">
        <v>25</v>
      </c>
      <c r="J29" s="12">
        <f>_TrainingReg[[#This Row],[Number of Attendees]]*_TrainingReg[[#This Row],[Training Hour]]</f>
        <v>150</v>
      </c>
      <c r="K29" s="5" t="s">
        <v>22</v>
      </c>
      <c r="L29" s="5" t="s">
        <v>133</v>
      </c>
    </row>
    <row r="30" spans="1:12">
      <c r="A30" s="5">
        <v>26</v>
      </c>
      <c r="B30" s="5" t="s">
        <v>66</v>
      </c>
      <c r="C30" s="5" t="s">
        <v>84</v>
      </c>
      <c r="D30" s="5" t="s">
        <v>114</v>
      </c>
      <c r="E30" s="5">
        <v>2025</v>
      </c>
      <c r="F30" s="6">
        <v>45843</v>
      </c>
      <c r="G30" s="7" t="s">
        <v>153</v>
      </c>
      <c r="H30" s="8">
        <v>1</v>
      </c>
      <c r="I30" s="9">
        <v>15</v>
      </c>
      <c r="J30" s="12">
        <f>_TrainingReg[[#This Row],[Number of Attendees]]*_TrainingReg[[#This Row],[Training Hour]]</f>
        <v>15</v>
      </c>
      <c r="K30" s="5" t="s">
        <v>22</v>
      </c>
      <c r="L30" s="5" t="s">
        <v>132</v>
      </c>
    </row>
    <row r="31" spans="1:12">
      <c r="A31" s="5">
        <v>27</v>
      </c>
      <c r="B31" s="5" t="s">
        <v>10</v>
      </c>
      <c r="C31" s="5" t="s">
        <v>67</v>
      </c>
      <c r="D31" s="5" t="s">
        <v>114</v>
      </c>
      <c r="E31" s="5">
        <v>2025</v>
      </c>
      <c r="F31" s="6">
        <v>45848</v>
      </c>
      <c r="G31" s="7" t="s">
        <v>144</v>
      </c>
      <c r="H31" s="8">
        <v>1</v>
      </c>
      <c r="I31" s="9">
        <v>10</v>
      </c>
      <c r="J31" s="12">
        <f>_TrainingReg[[#This Row],[Number of Attendees]]*_TrainingReg[[#This Row],[Training Hour]]</f>
        <v>10</v>
      </c>
      <c r="K31" s="5" t="s">
        <v>11</v>
      </c>
      <c r="L31" s="5" t="s">
        <v>122</v>
      </c>
    </row>
    <row r="32" spans="1:12">
      <c r="A32" s="5">
        <v>28</v>
      </c>
      <c r="B32" s="5" t="s">
        <v>21</v>
      </c>
      <c r="C32" s="5" t="s">
        <v>68</v>
      </c>
      <c r="D32" s="5" t="s">
        <v>114</v>
      </c>
      <c r="E32" s="5">
        <v>2025</v>
      </c>
      <c r="F32" s="6">
        <v>45853</v>
      </c>
      <c r="G32" s="7" t="s">
        <v>145</v>
      </c>
      <c r="H32" s="8">
        <v>2</v>
      </c>
      <c r="I32" s="9">
        <v>15</v>
      </c>
      <c r="J32" s="12">
        <f>_TrainingReg[[#This Row],[Number of Attendees]]*_TrainingReg[[#This Row],[Training Hour]]</f>
        <v>30</v>
      </c>
      <c r="K32" s="5" t="s">
        <v>41</v>
      </c>
      <c r="L32" s="5" t="s">
        <v>123</v>
      </c>
    </row>
    <row r="33" spans="1:12">
      <c r="A33" s="5">
        <v>29</v>
      </c>
      <c r="B33" s="5" t="s">
        <v>26</v>
      </c>
      <c r="C33" s="5" t="s">
        <v>69</v>
      </c>
      <c r="D33" s="5" t="s">
        <v>114</v>
      </c>
      <c r="E33" s="5">
        <v>2025</v>
      </c>
      <c r="F33" s="6">
        <v>45858</v>
      </c>
      <c r="G33" s="7" t="s">
        <v>146</v>
      </c>
      <c r="H33" s="8">
        <v>1</v>
      </c>
      <c r="I33" s="9">
        <v>20</v>
      </c>
      <c r="J33" s="12">
        <f>_TrainingReg[[#This Row],[Number of Attendees]]*_TrainingReg[[#This Row],[Training Hour]]</f>
        <v>20</v>
      </c>
      <c r="K33" s="5" t="s">
        <v>39</v>
      </c>
      <c r="L33" s="5" t="s">
        <v>124</v>
      </c>
    </row>
    <row r="34" spans="1:12">
      <c r="A34" s="5">
        <v>30</v>
      </c>
      <c r="B34" s="5" t="s">
        <v>52</v>
      </c>
      <c r="C34" s="5" t="s">
        <v>70</v>
      </c>
      <c r="D34" s="5" t="s">
        <v>115</v>
      </c>
      <c r="E34" s="5">
        <v>2025</v>
      </c>
      <c r="F34" s="6">
        <v>45874</v>
      </c>
      <c r="G34" s="7" t="s">
        <v>147</v>
      </c>
      <c r="H34" s="8">
        <v>2</v>
      </c>
      <c r="I34" s="9">
        <v>25</v>
      </c>
      <c r="J34" s="12">
        <f>_TrainingReg[[#This Row],[Number of Attendees]]*_TrainingReg[[#This Row],[Training Hour]]</f>
        <v>50</v>
      </c>
      <c r="K34" s="5" t="s">
        <v>37</v>
      </c>
      <c r="L34" s="5" t="s">
        <v>130</v>
      </c>
    </row>
    <row r="35" spans="1:12">
      <c r="A35" s="5">
        <v>31</v>
      </c>
      <c r="B35" s="5" t="s">
        <v>53</v>
      </c>
      <c r="C35" s="5" t="s">
        <v>71</v>
      </c>
      <c r="D35" s="5" t="s">
        <v>115</v>
      </c>
      <c r="E35" s="5">
        <v>2025</v>
      </c>
      <c r="F35" s="6">
        <v>45879</v>
      </c>
      <c r="G35" s="7" t="s">
        <v>148</v>
      </c>
      <c r="H35" s="8">
        <v>1</v>
      </c>
      <c r="I35" s="9">
        <v>5</v>
      </c>
      <c r="J35" s="12">
        <f>_TrainingReg[[#This Row],[Number of Attendees]]*_TrainingReg[[#This Row],[Training Hour]]</f>
        <v>5</v>
      </c>
      <c r="K35" s="5" t="s">
        <v>30</v>
      </c>
      <c r="L35" s="5" t="s">
        <v>132</v>
      </c>
    </row>
    <row r="36" spans="1:12">
      <c r="A36" s="5">
        <v>32</v>
      </c>
      <c r="B36" s="5" t="s">
        <v>55</v>
      </c>
      <c r="C36" s="5" t="s">
        <v>73</v>
      </c>
      <c r="D36" s="5" t="s">
        <v>115</v>
      </c>
      <c r="E36" s="5">
        <v>2025</v>
      </c>
      <c r="F36" s="6">
        <v>45884</v>
      </c>
      <c r="G36" s="7" t="s">
        <v>149</v>
      </c>
      <c r="H36" s="8">
        <v>2</v>
      </c>
      <c r="I36" s="9">
        <v>10</v>
      </c>
      <c r="J36" s="12">
        <f>_TrainingReg[[#This Row],[Number of Attendees]]*_TrainingReg[[#This Row],[Training Hour]]</f>
        <v>20</v>
      </c>
      <c r="K36" s="5" t="s">
        <v>41</v>
      </c>
      <c r="L36" s="5" t="s">
        <v>130</v>
      </c>
    </row>
    <row r="37" spans="1:12">
      <c r="A37" s="5">
        <v>33</v>
      </c>
      <c r="B37" s="5" t="s">
        <v>59</v>
      </c>
      <c r="C37" s="5" t="s">
        <v>77</v>
      </c>
      <c r="D37" s="5" t="s">
        <v>115</v>
      </c>
      <c r="E37" s="5">
        <v>2025</v>
      </c>
      <c r="F37" s="6">
        <v>45889</v>
      </c>
      <c r="G37" s="7" t="s">
        <v>150</v>
      </c>
      <c r="H37" s="8">
        <v>4</v>
      </c>
      <c r="I37" s="9">
        <v>25</v>
      </c>
      <c r="J37" s="12">
        <f>_TrainingReg[[#This Row],[Number of Attendees]]*_TrainingReg[[#This Row],[Training Hour]]</f>
        <v>100</v>
      </c>
      <c r="K37" s="5" t="s">
        <v>41</v>
      </c>
      <c r="L37" s="5" t="s">
        <v>133</v>
      </c>
    </row>
    <row r="38" spans="1:12">
      <c r="A38" s="5">
        <v>34</v>
      </c>
      <c r="B38" s="5" t="s">
        <v>57</v>
      </c>
      <c r="C38" s="5" t="s">
        <v>75</v>
      </c>
      <c r="D38" s="5" t="s">
        <v>116</v>
      </c>
      <c r="E38" s="5">
        <v>2025</v>
      </c>
      <c r="F38" s="6">
        <v>45905</v>
      </c>
      <c r="G38" s="7" t="s">
        <v>151</v>
      </c>
      <c r="H38" s="8">
        <v>2</v>
      </c>
      <c r="I38" s="9">
        <v>12</v>
      </c>
      <c r="J38" s="12">
        <f>_TrainingReg[[#This Row],[Number of Attendees]]*_TrainingReg[[#This Row],[Training Hour]]</f>
        <v>24</v>
      </c>
      <c r="K38" s="5" t="s">
        <v>41</v>
      </c>
      <c r="L38" s="5" t="s">
        <v>122</v>
      </c>
    </row>
    <row r="39" spans="1:12">
      <c r="A39" s="5">
        <v>35</v>
      </c>
      <c r="B39" s="5" t="s">
        <v>54</v>
      </c>
      <c r="C39" s="5" t="s">
        <v>72</v>
      </c>
      <c r="D39" s="5" t="s">
        <v>116</v>
      </c>
      <c r="E39" s="5">
        <v>2025</v>
      </c>
      <c r="F39" s="6">
        <v>45910</v>
      </c>
      <c r="G39" s="7" t="s">
        <v>147</v>
      </c>
      <c r="H39" s="8">
        <v>3</v>
      </c>
      <c r="I39" s="9">
        <v>50</v>
      </c>
      <c r="J39" s="12">
        <f>_TrainingReg[[#This Row],[Number of Attendees]]*_TrainingReg[[#This Row],[Training Hour]]</f>
        <v>150</v>
      </c>
      <c r="K39" s="5" t="s">
        <v>41</v>
      </c>
      <c r="L39" s="5" t="s">
        <v>128</v>
      </c>
    </row>
    <row r="40" spans="1:12">
      <c r="A40" s="5">
        <v>36</v>
      </c>
      <c r="B40" s="5" t="s">
        <v>60</v>
      </c>
      <c r="C40" s="5" t="s">
        <v>78</v>
      </c>
      <c r="D40" s="5" t="s">
        <v>117</v>
      </c>
      <c r="E40" s="5">
        <v>2025</v>
      </c>
      <c r="F40" s="6">
        <v>45945</v>
      </c>
      <c r="G40" s="7" t="s">
        <v>148</v>
      </c>
      <c r="H40" s="8">
        <v>1</v>
      </c>
      <c r="I40" s="9">
        <v>100</v>
      </c>
      <c r="J40" s="12">
        <f>_TrainingReg[[#This Row],[Number of Attendees]]*_TrainingReg[[#This Row],[Training Hour]]</f>
        <v>100</v>
      </c>
      <c r="K40" s="5" t="s">
        <v>41</v>
      </c>
      <c r="L40" s="5" t="s">
        <v>128</v>
      </c>
    </row>
    <row r="41" spans="1:12">
      <c r="A41" s="5">
        <v>37</v>
      </c>
      <c r="B41" s="5" t="s">
        <v>61</v>
      </c>
      <c r="C41" s="5" t="s">
        <v>79</v>
      </c>
      <c r="D41" s="5" t="s">
        <v>118</v>
      </c>
      <c r="E41" s="5">
        <v>2025</v>
      </c>
      <c r="F41" s="6">
        <v>45971</v>
      </c>
      <c r="G41" s="7" t="s">
        <v>145</v>
      </c>
      <c r="H41" s="8">
        <v>4</v>
      </c>
      <c r="I41" s="9">
        <v>30</v>
      </c>
      <c r="J41" s="12">
        <f>_TrainingReg[[#This Row],[Number of Attendees]]*_TrainingReg[[#This Row],[Training Hour]]</f>
        <v>120</v>
      </c>
      <c r="K41" s="5" t="s">
        <v>41</v>
      </c>
      <c r="L41" s="5" t="s">
        <v>127</v>
      </c>
    </row>
    <row r="42" spans="1:12">
      <c r="A42" s="5">
        <v>38</v>
      </c>
      <c r="B42" s="5" t="s">
        <v>65</v>
      </c>
      <c r="C42" s="5" t="s">
        <v>83</v>
      </c>
      <c r="D42" s="5" t="s">
        <v>118</v>
      </c>
      <c r="E42" s="5">
        <v>2025</v>
      </c>
      <c r="F42" s="6">
        <v>45981</v>
      </c>
      <c r="G42" s="7" t="s">
        <v>163</v>
      </c>
      <c r="H42" s="8">
        <v>6</v>
      </c>
      <c r="I42" s="9">
        <v>25</v>
      </c>
      <c r="J42" s="12">
        <f>_TrainingReg[[#This Row],[Number of Attendees]]*_TrainingReg[[#This Row],[Training Hour]]</f>
        <v>150</v>
      </c>
      <c r="K42" s="5" t="s">
        <v>22</v>
      </c>
      <c r="L42" s="5" t="s">
        <v>133</v>
      </c>
    </row>
    <row r="43" spans="1:12">
      <c r="A43" s="5">
        <v>39</v>
      </c>
      <c r="B43" s="5" t="s">
        <v>66</v>
      </c>
      <c r="C43" s="5" t="s">
        <v>84</v>
      </c>
      <c r="D43" s="5" t="s">
        <v>119</v>
      </c>
      <c r="E43" s="5">
        <v>2025</v>
      </c>
      <c r="F43" s="6">
        <v>46006</v>
      </c>
      <c r="G43" s="7" t="s">
        <v>153</v>
      </c>
      <c r="H43" s="8">
        <v>1</v>
      </c>
      <c r="I43" s="9">
        <v>15</v>
      </c>
      <c r="J43" s="12">
        <f>_TrainingReg[[#This Row],[Number of Attendees]]*_TrainingReg[[#This Row],[Training Hour]]</f>
        <v>15</v>
      </c>
      <c r="K43" s="5" t="s">
        <v>22</v>
      </c>
      <c r="L43" s="5" t="s">
        <v>132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E81880D-7510-409C-8259-F780AFCD2A88}">
          <x14:formula1>
            <xm:f>DATACALL!$O:$O</xm:f>
          </x14:formula1>
          <xm:sqref>K5:K43</xm:sqref>
        </x14:dataValidation>
        <x14:dataValidation type="list" allowBlank="1" showInputMessage="1" showErrorMessage="1" xr:uid="{12A76CC4-7AB5-40BE-8AFE-39BB535FB5CD}">
          <x14:formula1>
            <xm:f>DATACALL!$A:$A</xm:f>
          </x14:formula1>
          <xm:sqref>B5:B43</xm:sqref>
        </x14:dataValidation>
        <x14:dataValidation type="list" allowBlank="1" showInputMessage="1" showErrorMessage="1" xr:uid="{C1193EC8-0C39-4668-98C0-EF2C5C8E3FCA}">
          <x14:formula1>
            <xm:f>DATACALL!$C:$C</xm:f>
          </x14:formula1>
          <xm:sqref>C5:C43</xm:sqref>
        </x14:dataValidation>
        <x14:dataValidation type="list" allowBlank="1" showInputMessage="1" showErrorMessage="1" xr:uid="{9C0EB290-CF03-43E5-A788-B3573DF50B72}">
          <x14:formula1>
            <xm:f>DATACALL!$AE:$AE</xm:f>
          </x14:formula1>
          <xm:sqref>D5:D43</xm:sqref>
        </x14:dataValidation>
        <x14:dataValidation type="list" allowBlank="1" showInputMessage="1" showErrorMessage="1" xr:uid="{E009B88D-0801-4007-A8B6-7B5193EE1CF5}">
          <x14:formula1>
            <xm:f>DATACALL!$AC:$AC</xm:f>
          </x14:formula1>
          <xm:sqref>E5:E43</xm:sqref>
        </x14:dataValidation>
        <x14:dataValidation type="list" allowBlank="1" showInputMessage="1" showErrorMessage="1" xr:uid="{68181D69-4AC4-4DEA-A8F5-5F4D9BB8BE2B}">
          <x14:formula1>
            <xm:f>DATACALL!$G:$G</xm:f>
          </x14:formula1>
          <xm:sqref>L5:L43</xm:sqref>
        </x14:dataValidation>
        <x14:dataValidation type="list" allowBlank="1" showInputMessage="1" showErrorMessage="1" xr:uid="{F03F5180-FE70-4F1D-92BC-9733B39D592E}">
          <x14:formula1>
            <xm:f>DATACALL!$I:$I</xm:f>
          </x14:formula1>
          <xm:sqref>G5:G43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042E-AA4C-4468-B6E9-C1157EAEC188}">
  <sheetPr>
    <tabColor rgb="FFFF0000"/>
  </sheetPr>
  <dimension ref="A2:AB21"/>
  <sheetViews>
    <sheetView topLeftCell="G1" workbookViewId="0">
      <selection activeCell="J18" sqref="J18"/>
    </sheetView>
  </sheetViews>
  <sheetFormatPr defaultRowHeight="15"/>
  <cols>
    <col min="1" max="1" width="5.85546875" style="5" bestFit="1" customWidth="1"/>
    <col min="2" max="2" width="15.42578125" style="5" bestFit="1" customWidth="1"/>
    <col min="3" max="3" width="14.7109375" style="5" bestFit="1" customWidth="1"/>
    <col min="4" max="5" width="10.28515625" style="5" bestFit="1" customWidth="1"/>
    <col min="6" max="6" width="15.140625" style="5" bestFit="1" customWidth="1"/>
    <col min="7" max="7" width="19" bestFit="1" customWidth="1"/>
    <col min="8" max="8" width="19.5703125" bestFit="1" customWidth="1"/>
    <col min="9" max="9" width="13.140625" style="5" bestFit="1" customWidth="1"/>
    <col min="10" max="10" width="20.140625" style="5" bestFit="1" customWidth="1"/>
    <col min="11" max="11" width="15.140625" style="5" bestFit="1" customWidth="1"/>
    <col min="12" max="12" width="23" style="5" bestFit="1" customWidth="1"/>
    <col min="13" max="13" width="13" style="5" bestFit="1" customWidth="1"/>
    <col min="14" max="14" width="10.5703125" style="5" bestFit="1" customWidth="1"/>
    <col min="15" max="15" width="12.85546875" style="5" bestFit="1" customWidth="1"/>
    <col min="16" max="16" width="18.85546875" style="5" bestFit="1" customWidth="1"/>
    <col min="17" max="17" width="23" style="5" bestFit="1" customWidth="1"/>
    <col min="18" max="18" width="18.7109375" style="5" bestFit="1" customWidth="1"/>
    <col min="19" max="19" width="10.28515625" style="5" bestFit="1" customWidth="1"/>
    <col min="20" max="20" width="24.28515625" style="5" bestFit="1" customWidth="1"/>
    <col min="21" max="16384" width="9.140625" style="5"/>
  </cols>
  <sheetData>
    <row r="2" spans="1:20" ht="30">
      <c r="B2" s="17" t="s">
        <v>301</v>
      </c>
      <c r="C2" s="17" t="s">
        <v>301</v>
      </c>
      <c r="D2" s="17" t="s">
        <v>301</v>
      </c>
      <c r="E2" s="17" t="s">
        <v>301</v>
      </c>
      <c r="F2" s="18" t="s">
        <v>304</v>
      </c>
      <c r="G2" s="17" t="s">
        <v>301</v>
      </c>
      <c r="H2" s="17" t="s">
        <v>301</v>
      </c>
      <c r="I2" s="17" t="s">
        <v>301</v>
      </c>
      <c r="J2" s="17" t="s">
        <v>301</v>
      </c>
      <c r="K2" s="17" t="s">
        <v>301</v>
      </c>
      <c r="L2" s="17" t="s">
        <v>301</v>
      </c>
      <c r="M2" s="17" t="s">
        <v>301</v>
      </c>
      <c r="N2" s="17" t="s">
        <v>301</v>
      </c>
      <c r="O2" s="20" t="s">
        <v>302</v>
      </c>
      <c r="P2" s="17" t="s">
        <v>301</v>
      </c>
      <c r="Q2" s="17" t="s">
        <v>301</v>
      </c>
      <c r="R2" s="17" t="s">
        <v>301</v>
      </c>
      <c r="S2" s="17" t="s">
        <v>301</v>
      </c>
      <c r="T2" s="18" t="s">
        <v>306</v>
      </c>
    </row>
    <row r="4" spans="1:20">
      <c r="A4" s="5" t="s">
        <v>120</v>
      </c>
      <c r="B4" s="5" t="s">
        <v>0</v>
      </c>
      <c r="C4" s="5" t="s">
        <v>1</v>
      </c>
      <c r="D4" s="5" t="s">
        <v>50</v>
      </c>
      <c r="E4" s="5" t="s">
        <v>49</v>
      </c>
      <c r="F4" s="5" t="s">
        <v>234</v>
      </c>
      <c r="G4" s="5" t="s">
        <v>170</v>
      </c>
      <c r="H4" s="5" t="s">
        <v>179</v>
      </c>
      <c r="I4" s="5" t="s">
        <v>200</v>
      </c>
      <c r="J4" s="5" t="s">
        <v>208</v>
      </c>
      <c r="K4" s="5" t="s">
        <v>189</v>
      </c>
      <c r="L4" s="5" t="s">
        <v>195</v>
      </c>
      <c r="M4" s="5" t="s">
        <v>168</v>
      </c>
      <c r="N4" s="5" t="s">
        <v>169</v>
      </c>
      <c r="O4" s="5" t="s">
        <v>235</v>
      </c>
      <c r="P4" s="5" t="s">
        <v>216</v>
      </c>
      <c r="Q4" s="5" t="s">
        <v>229</v>
      </c>
      <c r="R4" s="5" t="s">
        <v>9</v>
      </c>
      <c r="S4" s="5" t="s">
        <v>7</v>
      </c>
      <c r="T4" s="5" t="s">
        <v>237</v>
      </c>
    </row>
    <row r="5" spans="1:20">
      <c r="A5" s="5">
        <v>1</v>
      </c>
      <c r="B5" s="5" t="s">
        <v>10</v>
      </c>
      <c r="C5" s="5" t="s">
        <v>67</v>
      </c>
      <c r="D5" s="5" t="s">
        <v>108</v>
      </c>
      <c r="E5" s="5">
        <v>2025</v>
      </c>
      <c r="F5" s="6">
        <v>45667</v>
      </c>
      <c r="G5" s="8" t="s">
        <v>171</v>
      </c>
      <c r="H5" s="8" t="s">
        <v>181</v>
      </c>
      <c r="I5" s="9" t="s">
        <v>203</v>
      </c>
      <c r="J5" s="9" t="s">
        <v>212</v>
      </c>
      <c r="K5" s="9" t="s">
        <v>190</v>
      </c>
      <c r="L5" s="9" t="s">
        <v>196</v>
      </c>
      <c r="M5" s="5">
        <v>2</v>
      </c>
      <c r="N5" s="5">
        <v>3</v>
      </c>
      <c r="O5" s="5">
        <f>_IncReg[[#This Row],[Severity]]*_IncReg[[#This Row],[Probability]]</f>
        <v>6</v>
      </c>
      <c r="P5" s="9" t="s">
        <v>219</v>
      </c>
      <c r="Q5" s="9" t="s">
        <v>225</v>
      </c>
      <c r="R5" s="9" t="s">
        <v>231</v>
      </c>
      <c r="S5" s="9" t="s">
        <v>89</v>
      </c>
      <c r="T5" s="9" t="s">
        <v>236</v>
      </c>
    </row>
    <row r="6" spans="1:20" ht="30">
      <c r="A6" s="5">
        <v>2</v>
      </c>
      <c r="B6" s="5" t="s">
        <v>21</v>
      </c>
      <c r="C6" s="5" t="s">
        <v>68</v>
      </c>
      <c r="D6" s="5" t="s">
        <v>108</v>
      </c>
      <c r="E6" s="5">
        <v>2025</v>
      </c>
      <c r="F6" s="6">
        <v>45672</v>
      </c>
      <c r="G6" s="8" t="s">
        <v>174</v>
      </c>
      <c r="H6" s="8" t="s">
        <v>183</v>
      </c>
      <c r="I6" s="9" t="s">
        <v>205</v>
      </c>
      <c r="J6" s="9" t="s">
        <v>215</v>
      </c>
      <c r="K6" s="9" t="s">
        <v>191</v>
      </c>
      <c r="L6" s="9" t="s">
        <v>196</v>
      </c>
      <c r="M6" s="5">
        <v>3</v>
      </c>
      <c r="N6" s="5">
        <v>5</v>
      </c>
      <c r="O6" s="5">
        <f>_IncReg[[#This Row],[Severity]]*_IncReg[[#This Row],[Probability]]</f>
        <v>15</v>
      </c>
      <c r="P6" s="9" t="s">
        <v>218</v>
      </c>
      <c r="Q6" s="9" t="s">
        <v>224</v>
      </c>
      <c r="R6" s="9" t="s">
        <v>231</v>
      </c>
      <c r="S6" s="9" t="s">
        <v>91</v>
      </c>
      <c r="T6" s="9" t="s">
        <v>236</v>
      </c>
    </row>
    <row r="7" spans="1:20" ht="30">
      <c r="A7" s="5">
        <v>3</v>
      </c>
      <c r="B7" s="5" t="s">
        <v>26</v>
      </c>
      <c r="C7" s="5" t="s">
        <v>69</v>
      </c>
      <c r="D7" s="5" t="s">
        <v>108</v>
      </c>
      <c r="E7" s="5">
        <v>2025</v>
      </c>
      <c r="F7" s="6">
        <v>45677</v>
      </c>
      <c r="G7" s="8" t="s">
        <v>51</v>
      </c>
      <c r="H7" s="8" t="s">
        <v>182</v>
      </c>
      <c r="I7" s="9" t="s">
        <v>201</v>
      </c>
      <c r="J7" s="9" t="s">
        <v>201</v>
      </c>
      <c r="K7" s="9" t="s">
        <v>194</v>
      </c>
      <c r="L7" s="9" t="s">
        <v>198</v>
      </c>
      <c r="M7" s="5">
        <v>2</v>
      </c>
      <c r="N7" s="5">
        <v>4</v>
      </c>
      <c r="O7" s="5">
        <f>_IncReg[[#This Row],[Severity]]*_IncReg[[#This Row],[Probability]]</f>
        <v>8</v>
      </c>
      <c r="P7" s="9" t="s">
        <v>222</v>
      </c>
      <c r="Q7" s="9" t="s">
        <v>227</v>
      </c>
      <c r="R7" s="9" t="s">
        <v>106</v>
      </c>
      <c r="S7" s="9" t="s">
        <v>90</v>
      </c>
      <c r="T7" s="9" t="s">
        <v>236</v>
      </c>
    </row>
    <row r="8" spans="1:20" ht="45">
      <c r="A8" s="5">
        <v>4</v>
      </c>
      <c r="B8" s="5" t="s">
        <v>52</v>
      </c>
      <c r="C8" s="5" t="s">
        <v>70</v>
      </c>
      <c r="D8" s="5" t="s">
        <v>108</v>
      </c>
      <c r="E8" s="5">
        <v>2025</v>
      </c>
      <c r="F8" s="6">
        <v>45687</v>
      </c>
      <c r="G8" s="8" t="s">
        <v>173</v>
      </c>
      <c r="H8" s="8" t="s">
        <v>184</v>
      </c>
      <c r="I8" s="9" t="s">
        <v>206</v>
      </c>
      <c r="J8" s="9" t="s">
        <v>213</v>
      </c>
      <c r="K8" s="9" t="s">
        <v>193</v>
      </c>
      <c r="L8" s="9" t="s">
        <v>196</v>
      </c>
      <c r="M8" s="5">
        <v>3</v>
      </c>
      <c r="N8" s="5">
        <v>3</v>
      </c>
      <c r="O8" s="5">
        <f>_IncReg[[#This Row],[Severity]]*_IncReg[[#This Row],[Probability]]</f>
        <v>9</v>
      </c>
      <c r="P8" s="9" t="s">
        <v>221</v>
      </c>
      <c r="Q8" s="9" t="s">
        <v>223</v>
      </c>
      <c r="R8" s="9" t="s">
        <v>232</v>
      </c>
      <c r="S8" s="9" t="s">
        <v>93</v>
      </c>
      <c r="T8" s="9" t="s">
        <v>236</v>
      </c>
    </row>
    <row r="9" spans="1:20" ht="45">
      <c r="A9" s="5">
        <v>5</v>
      </c>
      <c r="B9" s="5" t="s">
        <v>53</v>
      </c>
      <c r="C9" s="5" t="s">
        <v>71</v>
      </c>
      <c r="D9" s="5" t="s">
        <v>109</v>
      </c>
      <c r="E9" s="5">
        <v>2025</v>
      </c>
      <c r="F9" s="6">
        <v>45693</v>
      </c>
      <c r="G9" s="8" t="s">
        <v>175</v>
      </c>
      <c r="H9" s="8" t="s">
        <v>184</v>
      </c>
      <c r="I9" s="9" t="s">
        <v>204</v>
      </c>
      <c r="J9" s="9" t="s">
        <v>214</v>
      </c>
      <c r="K9" s="9" t="s">
        <v>192</v>
      </c>
      <c r="L9" s="9" t="s">
        <v>197</v>
      </c>
      <c r="M9" s="5">
        <v>2</v>
      </c>
      <c r="N9" s="5">
        <v>4</v>
      </c>
      <c r="O9" s="5">
        <f>_IncReg[[#This Row],[Severity]]*_IncReg[[#This Row],[Probability]]</f>
        <v>8</v>
      </c>
      <c r="P9" s="9" t="s">
        <v>217</v>
      </c>
      <c r="Q9" s="9" t="s">
        <v>226</v>
      </c>
      <c r="R9" s="9" t="s">
        <v>233</v>
      </c>
      <c r="S9" s="9" t="s">
        <v>100</v>
      </c>
      <c r="T9" s="9" t="s">
        <v>236</v>
      </c>
    </row>
    <row r="21" spans="5:28">
      <c r="E21" s="1"/>
      <c r="F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F57A24FA-6FC6-445B-B307-FB0B2F90D119}">
          <x14:formula1>
            <xm:f>DATACALL!$AC:$AC</xm:f>
          </x14:formula1>
          <xm:sqref>E5:E9</xm:sqref>
        </x14:dataValidation>
        <x14:dataValidation type="list" allowBlank="1" showInputMessage="1" showErrorMessage="1" xr:uid="{209694C6-19E8-4886-91BC-BD2978F60F29}">
          <x14:formula1>
            <xm:f>DATACALL!$AE:$AE</xm:f>
          </x14:formula1>
          <xm:sqref>D5:D9</xm:sqref>
        </x14:dataValidation>
        <x14:dataValidation type="list" allowBlank="1" showInputMessage="1" showErrorMessage="1" xr:uid="{3364C470-7400-46AB-BE03-FEF0A7F5B207}">
          <x14:formula1>
            <xm:f>DATACALL!$C:$C</xm:f>
          </x14:formula1>
          <xm:sqref>C5:C9</xm:sqref>
        </x14:dataValidation>
        <x14:dataValidation type="list" allowBlank="1" showInputMessage="1" showErrorMessage="1" xr:uid="{1F1DADAF-EC49-4E0F-A328-C0AE656ADB4F}">
          <x14:formula1>
            <xm:f>DATACALL!$A:$A</xm:f>
          </x14:formula1>
          <xm:sqref>B5:B9</xm:sqref>
        </x14:dataValidation>
        <x14:dataValidation type="list" allowBlank="1" showInputMessage="1" showErrorMessage="1" xr:uid="{C6763068-33F9-4F99-9163-EADA37AC626D}">
          <x14:formula1>
            <xm:f>DATACALL!$AK:$AK</xm:f>
          </x14:formula1>
          <xm:sqref>G5:G9</xm:sqref>
        </x14:dataValidation>
        <x14:dataValidation type="list" allowBlank="1" showInputMessage="1" showErrorMessage="1" xr:uid="{E1514A4D-D872-470B-9DB5-2FC369E7A7BA}">
          <x14:formula1>
            <xm:f>DATACALL!$AM:$AM</xm:f>
          </x14:formula1>
          <xm:sqref>H5:H9</xm:sqref>
        </x14:dataValidation>
        <x14:dataValidation type="list" allowBlank="1" showInputMessage="1" showErrorMessage="1" xr:uid="{5D29E68B-E9B8-4619-B835-E8A5271189D4}">
          <x14:formula1>
            <xm:f>DATACALL!$AO:$AO</xm:f>
          </x14:formula1>
          <xm:sqref>I5:I9</xm:sqref>
        </x14:dataValidation>
        <x14:dataValidation type="list" allowBlank="1" showInputMessage="1" showErrorMessage="1" xr:uid="{AEC9AD77-22DC-4E22-A6AF-55AC7008E2B4}">
          <x14:formula1>
            <xm:f>DATACALL!$AQ:$AQ</xm:f>
          </x14:formula1>
          <xm:sqref>J5:J9</xm:sqref>
        </x14:dataValidation>
        <x14:dataValidation type="list" allowBlank="1" showInputMessage="1" showErrorMessage="1" xr:uid="{F46B1587-240C-499B-95FE-048C6B7A6876}">
          <x14:formula1>
            <xm:f>DATACALL!$AS:$AS</xm:f>
          </x14:formula1>
          <xm:sqref>K5:K9</xm:sqref>
        </x14:dataValidation>
        <x14:dataValidation type="list" allowBlank="1" showInputMessage="1" showErrorMessage="1" xr:uid="{1B5F34FA-8BE5-484D-90AB-BE0EA8984D34}">
          <x14:formula1>
            <xm:f>DATACALL!$AU:$AU</xm:f>
          </x14:formula1>
          <xm:sqref>L5:L9</xm:sqref>
        </x14:dataValidation>
        <x14:dataValidation type="list" allowBlank="1" showInputMessage="1" showErrorMessage="1" xr:uid="{073E89B2-F1C0-4C79-967B-76627AB91C68}">
          <x14:formula1>
            <xm:f>DATACALL!$AW:$AW</xm:f>
          </x14:formula1>
          <xm:sqref>P5:P9</xm:sqref>
        </x14:dataValidation>
        <x14:dataValidation type="list" allowBlank="1" showInputMessage="1" showErrorMessage="1" xr:uid="{91258BC5-9258-4462-B57B-9B3ED1F9CF6D}">
          <x14:formula1>
            <xm:f>DATACALL!$AY:$AY</xm:f>
          </x14:formula1>
          <xm:sqref>Q5:Q9</xm:sqref>
        </x14:dataValidation>
        <x14:dataValidation type="list" allowBlank="1" showInputMessage="1" showErrorMessage="1" xr:uid="{3480A26B-FD93-4DC4-813D-CE7B49D8A2F7}">
          <x14:formula1>
            <xm:f>DATACALL!$BA:$BA</xm:f>
          </x14:formula1>
          <xm:sqref>R5:R9</xm:sqref>
        </x14:dataValidation>
        <x14:dataValidation type="list" allowBlank="1" showInputMessage="1" showErrorMessage="1" xr:uid="{0159C094-761B-461A-8C3F-CE189D0EA4B2}">
          <x14:formula1>
            <xm:f>DATACALL!$AG:$AG</xm:f>
          </x14:formula1>
          <xm:sqref>M5:M9</xm:sqref>
        </x14:dataValidation>
        <x14:dataValidation type="list" allowBlank="1" showInputMessage="1" showErrorMessage="1" xr:uid="{1F691B3C-BEA4-4B6F-8463-196355027442}">
          <x14:formula1>
            <xm:f>DATACALL!$AI:$AI</xm:f>
          </x14:formula1>
          <xm:sqref>N5:N9</xm:sqref>
        </x14:dataValidation>
        <x14:dataValidation type="list" allowBlank="1" showInputMessage="1" showErrorMessage="1" xr:uid="{F068860F-0F1B-43B4-9FFB-857CBC43CFB5}">
          <x14:formula1>
            <xm:f>DATACALL!$E:$E</xm:f>
          </x14:formula1>
          <xm:sqref>S5:S9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A65B-70C4-4CA7-A5E5-5507DD8F1361}">
  <sheetPr>
    <tabColor rgb="FF00B050"/>
  </sheetPr>
  <dimension ref="A2:J9"/>
  <sheetViews>
    <sheetView workbookViewId="0">
      <selection activeCell="F2" sqref="F2"/>
    </sheetView>
  </sheetViews>
  <sheetFormatPr defaultRowHeight="15"/>
  <cols>
    <col min="1" max="1" width="5.85546875" style="5" bestFit="1" customWidth="1"/>
    <col min="2" max="2" width="15.42578125" style="5" bestFit="1" customWidth="1"/>
    <col min="3" max="3" width="14.7109375" style="5" bestFit="1" customWidth="1"/>
    <col min="4" max="5" width="10.28515625" style="5" bestFit="1" customWidth="1"/>
    <col min="6" max="6" width="14" style="5" bestFit="1" customWidth="1"/>
    <col min="7" max="7" width="11.7109375" style="5" bestFit="1" customWidth="1"/>
    <col min="8" max="8" width="16.85546875" style="5" bestFit="1" customWidth="1"/>
    <col min="9" max="9" width="21.85546875" style="5" bestFit="1" customWidth="1"/>
    <col min="10" max="10" width="10.28515625" style="5" bestFit="1" customWidth="1"/>
    <col min="11" max="16384" width="9.140625" style="5"/>
  </cols>
  <sheetData>
    <row r="2" spans="1:10" ht="30">
      <c r="B2" s="17" t="s">
        <v>301</v>
      </c>
      <c r="C2" s="17" t="s">
        <v>301</v>
      </c>
      <c r="D2" s="17" t="s">
        <v>301</v>
      </c>
      <c r="E2" s="17" t="s">
        <v>301</v>
      </c>
      <c r="F2" s="18" t="s">
        <v>304</v>
      </c>
      <c r="G2" s="17" t="s">
        <v>301</v>
      </c>
      <c r="H2" s="18" t="s">
        <v>303</v>
      </c>
      <c r="I2" s="17" t="s">
        <v>301</v>
      </c>
      <c r="J2" s="17" t="s">
        <v>301</v>
      </c>
    </row>
    <row r="4" spans="1:10" ht="30">
      <c r="A4" s="5" t="s">
        <v>120</v>
      </c>
      <c r="B4" s="5" t="s">
        <v>0</v>
      </c>
      <c r="C4" s="5" t="s">
        <v>1</v>
      </c>
      <c r="D4" s="5" t="s">
        <v>50</v>
      </c>
      <c r="E4" s="5" t="s">
        <v>49</v>
      </c>
      <c r="F4" s="5" t="s">
        <v>238</v>
      </c>
      <c r="G4" s="5" t="s">
        <v>239</v>
      </c>
      <c r="H4" s="5" t="s">
        <v>143</v>
      </c>
      <c r="I4" s="5" t="s">
        <v>260</v>
      </c>
      <c r="J4" s="5" t="s">
        <v>166</v>
      </c>
    </row>
    <row r="5" spans="1:10">
      <c r="A5" s="5">
        <v>1</v>
      </c>
      <c r="B5" s="5" t="s">
        <v>10</v>
      </c>
      <c r="C5" s="5" t="s">
        <v>67</v>
      </c>
      <c r="D5" s="5" t="s">
        <v>108</v>
      </c>
      <c r="E5" s="5">
        <v>2025</v>
      </c>
      <c r="F5" s="6">
        <v>45667</v>
      </c>
      <c r="G5" s="7" t="s">
        <v>240</v>
      </c>
      <c r="H5" s="9">
        <v>10</v>
      </c>
      <c r="I5" s="5" t="s">
        <v>11</v>
      </c>
      <c r="J5" s="5" t="s">
        <v>122</v>
      </c>
    </row>
    <row r="6" spans="1:10">
      <c r="A6" s="5">
        <v>2</v>
      </c>
      <c r="B6" s="5" t="s">
        <v>21</v>
      </c>
      <c r="C6" s="5" t="s">
        <v>68</v>
      </c>
      <c r="D6" s="5" t="s">
        <v>108</v>
      </c>
      <c r="E6" s="5">
        <v>2025</v>
      </c>
      <c r="F6" s="6">
        <v>45672</v>
      </c>
      <c r="G6" s="7" t="s">
        <v>241</v>
      </c>
      <c r="H6" s="9">
        <v>15</v>
      </c>
      <c r="I6" s="5" t="s">
        <v>41</v>
      </c>
      <c r="J6" s="5" t="s">
        <v>123</v>
      </c>
    </row>
    <row r="7" spans="1:10">
      <c r="A7" s="5">
        <v>3</v>
      </c>
      <c r="B7" s="5" t="s">
        <v>26</v>
      </c>
      <c r="C7" s="5" t="s">
        <v>69</v>
      </c>
      <c r="D7" s="5" t="s">
        <v>108</v>
      </c>
      <c r="E7" s="5">
        <v>2025</v>
      </c>
      <c r="F7" s="6">
        <v>45677</v>
      </c>
      <c r="G7" s="7" t="s">
        <v>243</v>
      </c>
      <c r="H7" s="9">
        <v>20</v>
      </c>
      <c r="I7" s="5" t="s">
        <v>39</v>
      </c>
      <c r="J7" s="5" t="s">
        <v>124</v>
      </c>
    </row>
    <row r="8" spans="1:10">
      <c r="A8" s="5">
        <v>4</v>
      </c>
      <c r="B8" s="5" t="s">
        <v>52</v>
      </c>
      <c r="C8" s="5" t="s">
        <v>70</v>
      </c>
      <c r="D8" s="5" t="s">
        <v>108</v>
      </c>
      <c r="E8" s="5">
        <v>2025</v>
      </c>
      <c r="F8" s="6">
        <v>45687</v>
      </c>
      <c r="G8" s="7" t="s">
        <v>245</v>
      </c>
      <c r="H8" s="9">
        <v>25</v>
      </c>
      <c r="I8" s="5" t="s">
        <v>37</v>
      </c>
      <c r="J8" s="5" t="s">
        <v>130</v>
      </c>
    </row>
    <row r="9" spans="1:10">
      <c r="A9" s="5">
        <v>5</v>
      </c>
      <c r="B9" s="5" t="s">
        <v>53</v>
      </c>
      <c r="C9" s="5" t="s">
        <v>71</v>
      </c>
      <c r="D9" s="5" t="s">
        <v>109</v>
      </c>
      <c r="E9" s="5">
        <v>2025</v>
      </c>
      <c r="F9" s="6">
        <v>45693</v>
      </c>
      <c r="G9" s="7" t="s">
        <v>258</v>
      </c>
      <c r="H9" s="9">
        <v>5</v>
      </c>
      <c r="I9" s="5" t="s">
        <v>30</v>
      </c>
      <c r="J9" s="5" t="s">
        <v>132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B07E63AD-C9CE-4C52-BB47-40176B577DB2}">
          <x14:formula1>
            <xm:f>DATACALL!$AC:$AC</xm:f>
          </x14:formula1>
          <xm:sqref>E5:E9</xm:sqref>
        </x14:dataValidation>
        <x14:dataValidation type="list" allowBlank="1" showInputMessage="1" showErrorMessage="1" xr:uid="{610C492E-B71E-4EF2-80E1-63EB9788DFCC}">
          <x14:formula1>
            <xm:f>DATACALL!$AE:$AE</xm:f>
          </x14:formula1>
          <xm:sqref>D5:D9</xm:sqref>
        </x14:dataValidation>
        <x14:dataValidation type="list" allowBlank="1" showInputMessage="1" showErrorMessage="1" xr:uid="{58BE7E64-C3BE-44EE-AA51-DA893DEC34A8}">
          <x14:formula1>
            <xm:f>DATACALL!$C:$C</xm:f>
          </x14:formula1>
          <xm:sqref>C5:C9</xm:sqref>
        </x14:dataValidation>
        <x14:dataValidation type="list" allowBlank="1" showInputMessage="1" showErrorMessage="1" xr:uid="{FAEAE992-0402-4CF2-9EA7-45DD05B768E2}">
          <x14:formula1>
            <xm:f>DATACALL!$A:$A</xm:f>
          </x14:formula1>
          <xm:sqref>B5:B9</xm:sqref>
        </x14:dataValidation>
        <x14:dataValidation type="list" allowBlank="1" showInputMessage="1" showErrorMessage="1" xr:uid="{6B8C1E81-974C-43EC-BA2B-9F077E878167}">
          <x14:formula1>
            <xm:f>DATACALL!$O:$O</xm:f>
          </x14:formula1>
          <xm:sqref>I5:I9</xm:sqref>
        </x14:dataValidation>
        <x14:dataValidation type="list" allowBlank="1" showInputMessage="1" showErrorMessage="1" xr:uid="{E0AB62E3-AC9A-4D65-95EA-789213F0C2B4}">
          <x14:formula1>
            <xm:f>DATACALL!$K:$K</xm:f>
          </x14:formula1>
          <xm:sqref>G5:G9</xm:sqref>
        </x14:dataValidation>
        <x14:dataValidation type="list" allowBlank="1" showInputMessage="1" showErrorMessage="1" xr:uid="{BE952CC2-1891-417E-8557-EE576B0E1DDF}">
          <x14:formula1>
            <xm:f>DATACALL!$G:$G</xm:f>
          </x14:formula1>
          <xm:sqref>J5:J9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90A3-23C0-4910-B4D8-64F3C301566B}">
  <sheetPr>
    <tabColor rgb="FF00B050"/>
  </sheetPr>
  <dimension ref="A2:J9"/>
  <sheetViews>
    <sheetView workbookViewId="0">
      <selection activeCell="F2" sqref="F2"/>
    </sheetView>
  </sheetViews>
  <sheetFormatPr defaultRowHeight="15"/>
  <cols>
    <col min="1" max="1" width="5.85546875" style="5" bestFit="1" customWidth="1"/>
    <col min="2" max="2" width="15.42578125" style="5" bestFit="1" customWidth="1"/>
    <col min="3" max="3" width="14.7109375" style="5" bestFit="1" customWidth="1"/>
    <col min="4" max="4" width="9.28515625" style="5" bestFit="1" customWidth="1"/>
    <col min="5" max="5" width="7.28515625" style="5" bestFit="1" customWidth="1"/>
    <col min="6" max="6" width="15" style="5" bestFit="1" customWidth="1"/>
    <col min="7" max="7" width="16.28515625" style="5" bestFit="1" customWidth="1"/>
    <col min="8" max="8" width="21.140625" style="5" customWidth="1"/>
    <col min="9" max="9" width="21.85546875" style="5" bestFit="1" customWidth="1"/>
    <col min="10" max="10" width="10.28515625" style="5" bestFit="1" customWidth="1"/>
    <col min="11" max="11" width="13" style="5" bestFit="1" customWidth="1"/>
    <col min="12" max="16384" width="9.140625" style="5"/>
  </cols>
  <sheetData>
    <row r="2" spans="1:10" ht="30">
      <c r="B2" s="17" t="s">
        <v>301</v>
      </c>
      <c r="C2" s="17" t="s">
        <v>301</v>
      </c>
      <c r="D2" s="17" t="s">
        <v>301</v>
      </c>
      <c r="E2" s="17" t="s">
        <v>301</v>
      </c>
      <c r="F2" s="18" t="s">
        <v>304</v>
      </c>
      <c r="G2" s="17" t="s">
        <v>301</v>
      </c>
      <c r="H2" s="18" t="s">
        <v>303</v>
      </c>
      <c r="I2" s="17" t="s">
        <v>301</v>
      </c>
      <c r="J2" s="17" t="s">
        <v>301</v>
      </c>
    </row>
    <row r="4" spans="1:10">
      <c r="A4" s="5" t="s">
        <v>120</v>
      </c>
      <c r="B4" s="5" t="s">
        <v>0</v>
      </c>
      <c r="C4" s="5" t="s">
        <v>1</v>
      </c>
      <c r="D4" s="5" t="s">
        <v>50</v>
      </c>
      <c r="E4" s="5" t="s">
        <v>49</v>
      </c>
      <c r="F4" s="5" t="s">
        <v>261</v>
      </c>
      <c r="G4" s="5" t="s">
        <v>262</v>
      </c>
      <c r="H4" s="5" t="s">
        <v>143</v>
      </c>
      <c r="I4" s="5" t="s">
        <v>260</v>
      </c>
      <c r="J4" s="5" t="s">
        <v>166</v>
      </c>
    </row>
    <row r="5" spans="1:10">
      <c r="A5" s="5">
        <v>1</v>
      </c>
      <c r="B5" s="5" t="s">
        <v>10</v>
      </c>
      <c r="C5" s="5" t="s">
        <v>67</v>
      </c>
      <c r="D5" s="5" t="s">
        <v>108</v>
      </c>
      <c r="E5" s="5">
        <v>2025</v>
      </c>
      <c r="F5" s="6">
        <v>45667</v>
      </c>
      <c r="G5" s="7" t="s">
        <v>263</v>
      </c>
      <c r="H5" s="9">
        <v>10</v>
      </c>
      <c r="I5" s="5" t="s">
        <v>11</v>
      </c>
      <c r="J5" s="5" t="s">
        <v>122</v>
      </c>
    </row>
    <row r="6" spans="1:10">
      <c r="A6" s="5">
        <v>2</v>
      </c>
      <c r="B6" s="5" t="s">
        <v>21</v>
      </c>
      <c r="C6" s="5" t="s">
        <v>68</v>
      </c>
      <c r="D6" s="5" t="s">
        <v>108</v>
      </c>
      <c r="E6" s="5">
        <v>2025</v>
      </c>
      <c r="F6" s="6">
        <v>45672</v>
      </c>
      <c r="G6" s="7" t="s">
        <v>265</v>
      </c>
      <c r="H6" s="9">
        <v>15</v>
      </c>
      <c r="I6" s="5" t="s">
        <v>41</v>
      </c>
      <c r="J6" s="5" t="s">
        <v>123</v>
      </c>
    </row>
    <row r="7" spans="1:10">
      <c r="A7" s="5">
        <v>3</v>
      </c>
      <c r="B7" s="5" t="s">
        <v>26</v>
      </c>
      <c r="C7" s="5" t="s">
        <v>69</v>
      </c>
      <c r="D7" s="5" t="s">
        <v>108</v>
      </c>
      <c r="E7" s="5">
        <v>2025</v>
      </c>
      <c r="F7" s="6">
        <v>45677</v>
      </c>
      <c r="G7" s="7" t="s">
        <v>268</v>
      </c>
      <c r="H7" s="9">
        <v>20</v>
      </c>
      <c r="I7" s="5" t="s">
        <v>39</v>
      </c>
      <c r="J7" s="5" t="s">
        <v>124</v>
      </c>
    </row>
    <row r="8" spans="1:10">
      <c r="A8" s="5">
        <v>4</v>
      </c>
      <c r="B8" s="5" t="s">
        <v>52</v>
      </c>
      <c r="C8" s="5" t="s">
        <v>70</v>
      </c>
      <c r="D8" s="5" t="s">
        <v>108</v>
      </c>
      <c r="E8" s="5">
        <v>2025</v>
      </c>
      <c r="F8" s="6">
        <v>45687</v>
      </c>
      <c r="G8" s="7" t="s">
        <v>265</v>
      </c>
      <c r="H8" s="9">
        <v>25</v>
      </c>
      <c r="I8" s="5" t="s">
        <v>37</v>
      </c>
      <c r="J8" s="5" t="s">
        <v>130</v>
      </c>
    </row>
    <row r="9" spans="1:10">
      <c r="A9" s="5">
        <v>5</v>
      </c>
      <c r="B9" s="5" t="s">
        <v>53</v>
      </c>
      <c r="C9" s="5" t="s">
        <v>71</v>
      </c>
      <c r="D9" s="5" t="s">
        <v>109</v>
      </c>
      <c r="E9" s="5">
        <v>2025</v>
      </c>
      <c r="F9" s="6">
        <v>45693</v>
      </c>
      <c r="G9" s="7" t="s">
        <v>267</v>
      </c>
      <c r="H9" s="9">
        <v>5</v>
      </c>
      <c r="I9" s="5" t="s">
        <v>30</v>
      </c>
      <c r="J9" s="5" t="s">
        <v>132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EBF1E0C-3218-48D6-82A5-F28ED2696229}">
          <x14:formula1>
            <xm:f>DATACALL!$O:$O</xm:f>
          </x14:formula1>
          <xm:sqref>I5:I9</xm:sqref>
        </x14:dataValidation>
        <x14:dataValidation type="list" allowBlank="1" showInputMessage="1" showErrorMessage="1" xr:uid="{C226A21C-E59E-49A9-95F4-1EF0487430C0}">
          <x14:formula1>
            <xm:f>DATACALL!$A:$A</xm:f>
          </x14:formula1>
          <xm:sqref>B5:B9</xm:sqref>
        </x14:dataValidation>
        <x14:dataValidation type="list" allowBlank="1" showInputMessage="1" showErrorMessage="1" xr:uid="{8AC594EE-516A-42B7-B9A1-F887FBF0FD83}">
          <x14:formula1>
            <xm:f>DATACALL!$C:$C</xm:f>
          </x14:formula1>
          <xm:sqref>C5:C9</xm:sqref>
        </x14:dataValidation>
        <x14:dataValidation type="list" allowBlank="1" showInputMessage="1" showErrorMessage="1" xr:uid="{277C644B-63C8-491D-B1B2-65987D915547}">
          <x14:formula1>
            <xm:f>DATACALL!$AE:$AE</xm:f>
          </x14:formula1>
          <xm:sqref>D5:D9</xm:sqref>
        </x14:dataValidation>
        <x14:dataValidation type="list" allowBlank="1" showInputMessage="1" showErrorMessage="1" xr:uid="{038ED1DA-EF6A-4C2B-BEFE-C093E76FB5C2}">
          <x14:formula1>
            <xm:f>DATACALL!$AC:$AC</xm:f>
          </x14:formula1>
          <xm:sqref>E5:E9</xm:sqref>
        </x14:dataValidation>
        <x14:dataValidation type="list" allowBlank="1" showInputMessage="1" showErrorMessage="1" xr:uid="{ED6E967E-CFB3-4392-9999-8A458D883564}">
          <x14:formula1>
            <xm:f>DATACALL!$G:$G</xm:f>
          </x14:formula1>
          <xm:sqref>J5:J9</xm:sqref>
        </x14:dataValidation>
        <x14:dataValidation type="list" allowBlank="1" showInputMessage="1" showErrorMessage="1" xr:uid="{4167A51A-BA4A-431B-BEDC-B33BAF9D5DE8}">
          <x14:formula1>
            <xm:f>DATACALL!$M:$M</xm:f>
          </x14:formula1>
          <xm:sqref>G5:G9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02E1-E702-4367-8F7D-BB0C27A0C444}">
  <sheetPr>
    <tabColor rgb="FF00B050"/>
  </sheetPr>
  <dimension ref="A2:T23"/>
  <sheetViews>
    <sheetView workbookViewId="0">
      <selection activeCell="F2" sqref="F2"/>
    </sheetView>
  </sheetViews>
  <sheetFormatPr defaultRowHeight="15"/>
  <cols>
    <col min="1" max="1" width="5.85546875" style="5" bestFit="1" customWidth="1"/>
    <col min="2" max="2" width="15.42578125" style="5" bestFit="1" customWidth="1"/>
    <col min="3" max="3" width="14.7109375" style="5" bestFit="1" customWidth="1"/>
    <col min="4" max="5" width="10.28515625" style="5" bestFit="1" customWidth="1"/>
    <col min="6" max="6" width="16.85546875" style="5" bestFit="1" customWidth="1"/>
    <col min="7" max="7" width="20.7109375" bestFit="1" customWidth="1"/>
    <col min="8" max="8" width="18.5703125" bestFit="1" customWidth="1"/>
    <col min="9" max="9" width="13" style="5" bestFit="1" customWidth="1"/>
    <col min="10" max="10" width="10.5703125" style="5" bestFit="1" customWidth="1"/>
    <col min="11" max="11" width="12.85546875" style="5" bestFit="1" customWidth="1"/>
    <col min="12" max="12" width="18.85546875" style="5" bestFit="1" customWidth="1"/>
    <col min="13" max="13" width="23" style="5" bestFit="1" customWidth="1"/>
    <col min="14" max="14" width="18.7109375" style="5" bestFit="1" customWidth="1"/>
    <col min="15" max="15" width="10.28515625" style="5" bestFit="1" customWidth="1"/>
    <col min="16" max="16" width="24.28515625" style="5" bestFit="1" customWidth="1"/>
    <col min="17" max="16384" width="9.140625" style="5"/>
  </cols>
  <sheetData>
    <row r="2" spans="1:16" ht="30">
      <c r="B2" s="17" t="s">
        <v>301</v>
      </c>
      <c r="C2" s="17" t="s">
        <v>301</v>
      </c>
      <c r="D2" s="17" t="s">
        <v>301</v>
      </c>
      <c r="E2" s="17" t="s">
        <v>301</v>
      </c>
      <c r="F2" s="18" t="s">
        <v>304</v>
      </c>
      <c r="G2" s="17" t="s">
        <v>301</v>
      </c>
      <c r="H2" s="17" t="s">
        <v>301</v>
      </c>
      <c r="I2" s="17" t="s">
        <v>301</v>
      </c>
      <c r="J2" s="17" t="s">
        <v>301</v>
      </c>
      <c r="K2" s="20" t="s">
        <v>302</v>
      </c>
      <c r="L2" s="17" t="s">
        <v>301</v>
      </c>
      <c r="M2" s="17" t="s">
        <v>301</v>
      </c>
      <c r="N2" s="17" t="s">
        <v>301</v>
      </c>
      <c r="O2" s="17" t="s">
        <v>301</v>
      </c>
      <c r="P2" s="18" t="s">
        <v>306</v>
      </c>
    </row>
    <row r="4" spans="1:16">
      <c r="A4" s="5" t="s">
        <v>120</v>
      </c>
      <c r="B4" s="5" t="s">
        <v>0</v>
      </c>
      <c r="C4" s="5" t="s">
        <v>1</v>
      </c>
      <c r="D4" s="5" t="s">
        <v>50</v>
      </c>
      <c r="E4" s="5" t="s">
        <v>49</v>
      </c>
      <c r="F4" s="5" t="s">
        <v>283</v>
      </c>
      <c r="G4" s="5" t="s">
        <v>284</v>
      </c>
      <c r="H4" s="5" t="s">
        <v>285</v>
      </c>
      <c r="I4" s="5" t="s">
        <v>168</v>
      </c>
      <c r="J4" s="5" t="s">
        <v>169</v>
      </c>
      <c r="K4" s="5" t="s">
        <v>235</v>
      </c>
      <c r="L4" s="5" t="s">
        <v>216</v>
      </c>
      <c r="M4" s="5" t="s">
        <v>229</v>
      </c>
      <c r="N4" s="5" t="s">
        <v>9</v>
      </c>
      <c r="O4" s="5" t="s">
        <v>7</v>
      </c>
      <c r="P4" s="5" t="s">
        <v>237</v>
      </c>
    </row>
    <row r="5" spans="1:16">
      <c r="A5" s="5">
        <v>1</v>
      </c>
      <c r="B5" s="5" t="s">
        <v>10</v>
      </c>
      <c r="C5" s="5" t="s">
        <v>67</v>
      </c>
      <c r="D5" s="5" t="s">
        <v>108</v>
      </c>
      <c r="E5" s="5">
        <v>2025</v>
      </c>
      <c r="F5" s="6">
        <v>45667</v>
      </c>
      <c r="G5" s="8" t="s">
        <v>185</v>
      </c>
      <c r="H5" s="8" t="s">
        <v>291</v>
      </c>
      <c r="I5" s="5">
        <v>2</v>
      </c>
      <c r="J5" s="5">
        <v>3</v>
      </c>
      <c r="K5" s="5">
        <f>_NMReg[[#This Row],[Severity]]*_NMReg[[#This Row],[Probability]]</f>
        <v>6</v>
      </c>
      <c r="L5" s="9" t="s">
        <v>219</v>
      </c>
      <c r="M5" s="9" t="s">
        <v>225</v>
      </c>
      <c r="N5" s="9" t="s">
        <v>231</v>
      </c>
      <c r="O5" s="9" t="s">
        <v>89</v>
      </c>
      <c r="P5" s="9" t="s">
        <v>236</v>
      </c>
    </row>
    <row r="6" spans="1:16">
      <c r="A6" s="5">
        <v>2</v>
      </c>
      <c r="B6" s="5" t="s">
        <v>21</v>
      </c>
      <c r="C6" s="5" t="s">
        <v>68</v>
      </c>
      <c r="D6" s="5" t="s">
        <v>108</v>
      </c>
      <c r="E6" s="5">
        <v>2025</v>
      </c>
      <c r="F6" s="6">
        <v>45672</v>
      </c>
      <c r="G6" s="8" t="s">
        <v>186</v>
      </c>
      <c r="H6" s="8" t="s">
        <v>294</v>
      </c>
      <c r="I6" s="5">
        <v>3</v>
      </c>
      <c r="J6" s="5">
        <v>5</v>
      </c>
      <c r="K6" s="5">
        <f>_NMReg[[#This Row],[Severity]]*_NMReg[[#This Row],[Probability]]</f>
        <v>15</v>
      </c>
      <c r="L6" s="9" t="s">
        <v>218</v>
      </c>
      <c r="M6" s="9" t="s">
        <v>224</v>
      </c>
      <c r="N6" s="9" t="s">
        <v>231</v>
      </c>
      <c r="O6" s="9" t="s">
        <v>91</v>
      </c>
      <c r="P6" s="9" t="s">
        <v>236</v>
      </c>
    </row>
    <row r="7" spans="1:16" ht="30">
      <c r="A7" s="5">
        <v>3</v>
      </c>
      <c r="B7" s="5" t="s">
        <v>26</v>
      </c>
      <c r="C7" s="5" t="s">
        <v>69</v>
      </c>
      <c r="D7" s="5" t="s">
        <v>108</v>
      </c>
      <c r="E7" s="5">
        <v>2025</v>
      </c>
      <c r="F7" s="6">
        <v>45677</v>
      </c>
      <c r="G7" s="8" t="s">
        <v>187</v>
      </c>
      <c r="H7" s="8" t="s">
        <v>298</v>
      </c>
      <c r="I7" s="5">
        <v>2</v>
      </c>
      <c r="J7" s="5">
        <v>4</v>
      </c>
      <c r="K7" s="5">
        <f>_NMReg[[#This Row],[Severity]]*_NMReg[[#This Row],[Probability]]</f>
        <v>8</v>
      </c>
      <c r="L7" s="9" t="s">
        <v>222</v>
      </c>
      <c r="M7" s="9" t="s">
        <v>227</v>
      </c>
      <c r="N7" s="9" t="s">
        <v>106</v>
      </c>
      <c r="O7" s="9" t="s">
        <v>90</v>
      </c>
      <c r="P7" s="9" t="s">
        <v>236</v>
      </c>
    </row>
    <row r="8" spans="1:16" ht="30">
      <c r="A8" s="5">
        <v>4</v>
      </c>
      <c r="B8" s="5" t="s">
        <v>52</v>
      </c>
      <c r="C8" s="5" t="s">
        <v>70</v>
      </c>
      <c r="D8" s="5" t="s">
        <v>108</v>
      </c>
      <c r="E8" s="5">
        <v>2025</v>
      </c>
      <c r="F8" s="6">
        <v>45687</v>
      </c>
      <c r="G8" s="8" t="s">
        <v>188</v>
      </c>
      <c r="H8" s="8" t="s">
        <v>296</v>
      </c>
      <c r="I8" s="5">
        <v>3</v>
      </c>
      <c r="J8" s="5">
        <v>3</v>
      </c>
      <c r="K8" s="5">
        <f>_NMReg[[#This Row],[Severity]]*_NMReg[[#This Row],[Probability]]</f>
        <v>9</v>
      </c>
      <c r="L8" s="9" t="s">
        <v>221</v>
      </c>
      <c r="M8" s="9" t="s">
        <v>223</v>
      </c>
      <c r="N8" s="9" t="s">
        <v>232</v>
      </c>
      <c r="O8" s="9" t="s">
        <v>93</v>
      </c>
      <c r="P8" s="9" t="s">
        <v>236</v>
      </c>
    </row>
    <row r="9" spans="1:16" ht="30">
      <c r="A9" s="5">
        <v>5</v>
      </c>
      <c r="B9" s="5" t="s">
        <v>53</v>
      </c>
      <c r="C9" s="5" t="s">
        <v>71</v>
      </c>
      <c r="D9" s="5" t="s">
        <v>109</v>
      </c>
      <c r="E9" s="5">
        <v>2025</v>
      </c>
      <c r="F9" s="6">
        <v>45693</v>
      </c>
      <c r="G9" s="8" t="s">
        <v>185</v>
      </c>
      <c r="H9" s="8" t="s">
        <v>292</v>
      </c>
      <c r="I9" s="5">
        <v>2</v>
      </c>
      <c r="J9" s="5">
        <v>4</v>
      </c>
      <c r="K9" s="5">
        <f>_NMReg[[#This Row],[Severity]]*_NMReg[[#This Row],[Probability]]</f>
        <v>8</v>
      </c>
      <c r="L9" s="9" t="s">
        <v>217</v>
      </c>
      <c r="M9" s="9" t="s">
        <v>226</v>
      </c>
      <c r="N9" s="9" t="s">
        <v>233</v>
      </c>
      <c r="O9" s="9" t="s">
        <v>100</v>
      </c>
      <c r="P9" s="9" t="s">
        <v>236</v>
      </c>
    </row>
    <row r="23" spans="5:20">
      <c r="E23" s="1"/>
      <c r="F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1A37B5B5-B2EA-4EE0-8255-6B40CC9EC815}">
          <x14:formula1>
            <xm:f>DATACALL!$AI:$AI</xm:f>
          </x14:formula1>
          <xm:sqref>J5:J9</xm:sqref>
        </x14:dataValidation>
        <x14:dataValidation type="list" allowBlank="1" showInputMessage="1" showErrorMessage="1" xr:uid="{08E8D600-F4ED-45BB-B926-41E8C85B796B}">
          <x14:formula1>
            <xm:f>DATACALL!$AG:$AG</xm:f>
          </x14:formula1>
          <xm:sqref>I5:I9</xm:sqref>
        </x14:dataValidation>
        <x14:dataValidation type="list" allowBlank="1" showInputMessage="1" showErrorMessage="1" xr:uid="{44999FF6-F209-4CB7-AC39-4651E3CF34CA}">
          <x14:formula1>
            <xm:f>DATACALL!$BA:$BA</xm:f>
          </x14:formula1>
          <xm:sqref>N5:N9</xm:sqref>
        </x14:dataValidation>
        <x14:dataValidation type="list" allowBlank="1" showInputMessage="1" showErrorMessage="1" xr:uid="{D4AB276E-88B6-4044-8163-BBE1AE0F77D3}">
          <x14:formula1>
            <xm:f>DATACALL!$AY:$AY</xm:f>
          </x14:formula1>
          <xm:sqref>M5:M9</xm:sqref>
        </x14:dataValidation>
        <x14:dataValidation type="list" allowBlank="1" showInputMessage="1" showErrorMessage="1" xr:uid="{15AEA653-7E61-476D-80A9-C6B6FD86AAC5}">
          <x14:formula1>
            <xm:f>DATACALL!$AW:$AW</xm:f>
          </x14:formula1>
          <xm:sqref>L5:L9</xm:sqref>
        </x14:dataValidation>
        <x14:dataValidation type="list" allowBlank="1" showInputMessage="1" showErrorMessage="1" xr:uid="{A3BE0A20-602A-4FC5-BEFA-2B9FB8FB8B06}">
          <x14:formula1>
            <xm:f>DATACALL!$BC:$BC</xm:f>
          </x14:formula1>
          <xm:sqref>G5:G9</xm:sqref>
        </x14:dataValidation>
        <x14:dataValidation type="list" allowBlank="1" showInputMessage="1" showErrorMessage="1" xr:uid="{CFD0F1F0-DE31-4F90-84CB-F5D4970328D8}">
          <x14:formula1>
            <xm:f>DATACALL!$A:$A</xm:f>
          </x14:formula1>
          <xm:sqref>B5:B9</xm:sqref>
        </x14:dataValidation>
        <x14:dataValidation type="list" allowBlank="1" showInputMessage="1" showErrorMessage="1" xr:uid="{86EAB011-6296-47E5-A1E2-9747732BECFB}">
          <x14:formula1>
            <xm:f>DATACALL!$C:$C</xm:f>
          </x14:formula1>
          <xm:sqref>C5:C9</xm:sqref>
        </x14:dataValidation>
        <x14:dataValidation type="list" allowBlank="1" showInputMessage="1" showErrorMessage="1" xr:uid="{9C217FEC-B6DE-4AF2-B9E0-65D40DA75419}">
          <x14:formula1>
            <xm:f>DATACALL!$AE:$AE</xm:f>
          </x14:formula1>
          <xm:sqref>D5:D9</xm:sqref>
        </x14:dataValidation>
        <x14:dataValidation type="list" allowBlank="1" showInputMessage="1" showErrorMessage="1" xr:uid="{93B9E344-1857-4BAF-B714-394A78FA2AF5}">
          <x14:formula1>
            <xm:f>DATACALL!$AC:$AC</xm:f>
          </x14:formula1>
          <xm:sqref>E5:E9</xm:sqref>
        </x14:dataValidation>
        <x14:dataValidation type="list" allowBlank="1" showInputMessage="1" showErrorMessage="1" xr:uid="{FADCD830-3DC5-477A-942B-AF022565F608}">
          <x14:formula1>
            <xm:f>DATACALL!$BE:$BE</xm:f>
          </x14:formula1>
          <xm:sqref>H5:H9</xm:sqref>
        </x14:dataValidation>
        <x14:dataValidation type="list" allowBlank="1" showInputMessage="1" showErrorMessage="1" xr:uid="{451CD5CE-9DB7-4976-BAB0-9A2FA69C2D0D}">
          <x14:formula1>
            <xm:f>DATACALL!$E:$E</xm:f>
          </x14:formula1>
          <xm:sqref>O5:O9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DATACALL</vt:lpstr>
      <vt:lpstr>ManHours</vt:lpstr>
      <vt:lpstr>Audit Register</vt:lpstr>
      <vt:lpstr>Training Register</vt:lpstr>
      <vt:lpstr>Incident Register</vt:lpstr>
      <vt:lpstr>TBT Register</vt:lpstr>
      <vt:lpstr>Drill Register</vt:lpstr>
      <vt:lpstr>Near-Miss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Taner Cetinkaya</cp:lastModifiedBy>
  <dcterms:created xsi:type="dcterms:W3CDTF">2025-12-27T07:36:40Z</dcterms:created>
  <dcterms:modified xsi:type="dcterms:W3CDTF">2025-12-28T06:31:17Z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dcd0a-57a4-4296-aaeb-6f011496214d_Enabled">
    <vt:lpwstr>true</vt:lpwstr>
  </property>
  <property fmtid="{D5CDD505-2E9C-101B-9397-08002B2CF9AE}" pid="3" name="MSIP_Label_dd1dcd0a-57a4-4296-aaeb-6f011496214d_SetDate">
    <vt:lpwstr>2025-12-27T10:02:03Z</vt:lpwstr>
  </property>
  <property fmtid="{D5CDD505-2E9C-101B-9397-08002B2CF9AE}" pid="4" name="MSIP_Label_dd1dcd0a-57a4-4296-aaeb-6f011496214d_Method">
    <vt:lpwstr>Standard</vt:lpwstr>
  </property>
  <property fmtid="{D5CDD505-2E9C-101B-9397-08002B2CF9AE}" pid="5" name="MSIP_Label_dd1dcd0a-57a4-4296-aaeb-6f011496214d_Name">
    <vt:lpwstr>General</vt:lpwstr>
  </property>
  <property fmtid="{D5CDD505-2E9C-101B-9397-08002B2CF9AE}" pid="6" name="MSIP_Label_dd1dcd0a-57a4-4296-aaeb-6f011496214d_SiteId">
    <vt:lpwstr>62b77a49-ba04-4dbf-9bd0-12e42efead53</vt:lpwstr>
  </property>
  <property fmtid="{D5CDD505-2E9C-101B-9397-08002B2CF9AE}" pid="7" name="MSIP_Label_dd1dcd0a-57a4-4296-aaeb-6f011496214d_ActionId">
    <vt:lpwstr>b8c8030d-68d7-4eca-a1c6-59b5f883e5d8</vt:lpwstr>
  </property>
  <property fmtid="{D5CDD505-2E9C-101B-9397-08002B2CF9AE}" pid="8" name="MSIP_Label_dd1dcd0a-57a4-4296-aaeb-6f011496214d_ContentBits">
    <vt:lpwstr>0</vt:lpwstr>
  </property>
  <property fmtid="{D5CDD505-2E9C-101B-9397-08002B2CF9AE}" pid="9" name="MSIP_Label_dd1dcd0a-57a4-4296-aaeb-6f011496214d_Tag">
    <vt:lpwstr>10, 3, 0, 1</vt:lpwstr>
  </property>
</Properties>
</file>